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331C3F8C-16F3-4B90-9A22-0D87CC75DF0C}" xr6:coauthVersionLast="47" xr6:coauthVersionMax="47" xr10:uidLastSave="{00000000-0000-0000-0000-000000000000}"/>
  <bookViews>
    <workbookView xWindow="-110" yWindow="-110" windowWidth="19420" windowHeight="10420" tabRatio="609" activeTab="2" xr2:uid="{976E6434-EDAA-417E-BB74-22CF5BEBAE39}"/>
  </bookViews>
  <sheets>
    <sheet name="Cleaned Data" sheetId="1" r:id="rId1"/>
    <sheet name="PIVOT TABLE" sheetId="4" r:id="rId2"/>
    <sheet name="DASHBAORD" sheetId="7" r:id="rId3"/>
  </sheets>
  <definedNames>
    <definedName name="_xlnm._FilterDatabase" localSheetId="0" hidden="1">'Cleaned Data'!$E$1:$E$1021</definedName>
    <definedName name="_xlnm.Print_Area" localSheetId="2">DASHBAORD!$A$1:$T$53</definedName>
    <definedName name="Slicer_Department">#N/A</definedName>
    <definedName name="Slicer_Region">#N/A</definedName>
    <definedName name="Slicer_Salary_Band">#N/A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Y2" i="1" l="1"/>
  <c r="X2" i="1"/>
  <c r="W2" i="1"/>
  <c r="V2" i="1"/>
  <c r="U2" i="1"/>
  <c r="T2" i="1"/>
</calcChain>
</file>

<file path=xl/sharedStrings.xml><?xml version="1.0" encoding="utf-8"?>
<sst xmlns="http://schemas.openxmlformats.org/spreadsheetml/2006/main" count="12350" uniqueCount="1980">
  <si>
    <t>Employee_ID</t>
  </si>
  <si>
    <t>First_Name</t>
  </si>
  <si>
    <t>Last_Name</t>
  </si>
  <si>
    <t>Status</t>
  </si>
  <si>
    <t>Salary</t>
  </si>
  <si>
    <t>Email</t>
  </si>
  <si>
    <t>Phone</t>
  </si>
  <si>
    <t>Remote_Work</t>
  </si>
  <si>
    <t>EMP1000</t>
  </si>
  <si>
    <t>Bob</t>
  </si>
  <si>
    <t>Davis</t>
  </si>
  <si>
    <t>Active</t>
  </si>
  <si>
    <t>Average</t>
  </si>
  <si>
    <t>EMP1001</t>
  </si>
  <si>
    <t>Brown</t>
  </si>
  <si>
    <t>Excellent</t>
  </si>
  <si>
    <t>EMP1002</t>
  </si>
  <si>
    <t>Alice</t>
  </si>
  <si>
    <t>Jones</t>
  </si>
  <si>
    <t>Pending</t>
  </si>
  <si>
    <t>Good</t>
  </si>
  <si>
    <t>EMP1003</t>
  </si>
  <si>
    <t>Eva</t>
  </si>
  <si>
    <t>Inactive</t>
  </si>
  <si>
    <t>EMP1004</t>
  </si>
  <si>
    <t>Frank</t>
  </si>
  <si>
    <t>Williams</t>
  </si>
  <si>
    <t>Poor</t>
  </si>
  <si>
    <t>EMP1005</t>
  </si>
  <si>
    <t>Garcia</t>
  </si>
  <si>
    <t>EMP1006</t>
  </si>
  <si>
    <t>EMP1007</t>
  </si>
  <si>
    <t>EMP1008</t>
  </si>
  <si>
    <t>EMP1009</t>
  </si>
  <si>
    <t>Charlie</t>
  </si>
  <si>
    <t>Johnson</t>
  </si>
  <si>
    <t>EMP1010</t>
  </si>
  <si>
    <t>David</t>
  </si>
  <si>
    <t>EMP1011</t>
  </si>
  <si>
    <t>EMP1012</t>
  </si>
  <si>
    <t>Heidi</t>
  </si>
  <si>
    <t>EMP1013</t>
  </si>
  <si>
    <t>Grace</t>
  </si>
  <si>
    <t>EMP1014</t>
  </si>
  <si>
    <t>EMP1015</t>
  </si>
  <si>
    <t>EMP1016</t>
  </si>
  <si>
    <t>EMP1017</t>
  </si>
  <si>
    <t>EMP1018</t>
  </si>
  <si>
    <t>EMP1019</t>
  </si>
  <si>
    <t>EMP1020</t>
  </si>
  <si>
    <t>Miller</t>
  </si>
  <si>
    <t>EMP1021</t>
  </si>
  <si>
    <t>EMP1022</t>
  </si>
  <si>
    <t>EMP1023</t>
  </si>
  <si>
    <t>EMP1024</t>
  </si>
  <si>
    <t>EMP1025</t>
  </si>
  <si>
    <t>EMP1026</t>
  </si>
  <si>
    <t>EMP1027</t>
  </si>
  <si>
    <t>EMP1028</t>
  </si>
  <si>
    <t>EMP1029</t>
  </si>
  <si>
    <t>EMP1030</t>
  </si>
  <si>
    <t>EMP1031</t>
  </si>
  <si>
    <t>Smith</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</si>
  <si>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</si>
  <si>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</si>
  <si>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</si>
  <si>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</si>
  <si>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</si>
  <si>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</si>
  <si>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</si>
  <si>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</si>
  <si>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</si>
  <si>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</si>
  <si>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</si>
  <si>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</si>
  <si>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</si>
  <si>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</si>
  <si>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</si>
  <si>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</si>
  <si>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</si>
  <si>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</si>
  <si>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</si>
  <si>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</si>
  <si>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</si>
  <si>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</si>
  <si>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</si>
  <si>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</si>
  <si>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</si>
  <si>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</si>
  <si>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</si>
  <si>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</si>
  <si>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</si>
  <si>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</si>
  <si>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</si>
  <si>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</si>
  <si>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</si>
  <si>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</si>
  <si>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</si>
  <si>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</si>
  <si>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</si>
  <si>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</si>
  <si>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</si>
  <si>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</si>
  <si>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</si>
  <si>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</si>
  <si>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</si>
  <si>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</si>
  <si>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</si>
  <si>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</si>
  <si>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</si>
  <si>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</si>
  <si>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</si>
  <si>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</si>
  <si>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</si>
  <si>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</si>
  <si>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</si>
  <si>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</si>
  <si>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</si>
  <si>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</si>
  <si>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</si>
  <si>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</si>
  <si>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</si>
  <si>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</si>
  <si>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</si>
  <si>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</si>
  <si>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</si>
  <si>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</si>
  <si>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</si>
  <si>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</si>
  <si>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</si>
  <si>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</si>
  <si>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</si>
  <si>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</si>
  <si>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</si>
  <si>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</si>
  <si>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</si>
  <si>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</si>
  <si>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</si>
  <si>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</si>
  <si>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</si>
  <si>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</si>
  <si>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</si>
  <si>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</si>
  <si>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</si>
  <si>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</si>
  <si>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</si>
  <si>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</si>
  <si>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</si>
  <si>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</si>
  <si>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</si>
  <si>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</si>
  <si>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</si>
  <si>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</si>
  <si>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</si>
  <si>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</si>
  <si>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</si>
  <si>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</si>
  <si>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</si>
  <si>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</si>
  <si>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</si>
  <si>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</si>
  <si>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</si>
  <si>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</si>
  <si>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</si>
  <si>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</si>
  <si>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</si>
  <si>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</si>
  <si>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</si>
  <si>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</si>
  <si>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</si>
  <si>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</si>
  <si>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</si>
  <si>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</si>
  <si>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</si>
  <si>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</si>
  <si>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</si>
  <si>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</si>
  <si>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</si>
  <si>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</si>
  <si>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</si>
  <si>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</si>
  <si>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</si>
  <si>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</si>
  <si>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</si>
  <si>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</si>
  <si>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</si>
  <si>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</si>
  <si>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</si>
  <si>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</si>
  <si>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</si>
  <si>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</si>
  <si>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</si>
  <si>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</si>
  <si>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</si>
  <si>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</si>
  <si>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</si>
  <si>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</si>
  <si>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</si>
  <si>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</si>
  <si>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</si>
  <si>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</si>
  <si>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</si>
  <si>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</si>
  <si>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</si>
  <si>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</si>
  <si>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</si>
  <si>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</si>
  <si>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</si>
  <si>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</si>
  <si>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</si>
  <si>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</si>
  <si>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</si>
  <si>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</si>
  <si>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</si>
  <si>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</si>
  <si>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</si>
  <si>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</si>
  <si>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</si>
  <si>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</si>
  <si>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</si>
  <si>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</si>
  <si>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</si>
  <si>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</si>
  <si>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</si>
  <si>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</si>
  <si>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</si>
  <si>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</si>
  <si>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</si>
  <si>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</si>
  <si>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</si>
  <si>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</si>
  <si>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</si>
  <si>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</si>
  <si>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</si>
  <si>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</si>
  <si>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</si>
  <si>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</si>
  <si>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</si>
  <si>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</si>
  <si>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</si>
  <si>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</si>
  <si>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</si>
  <si>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</si>
  <si>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</si>
  <si>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</si>
  <si>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</si>
  <si>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</si>
  <si>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</si>
  <si>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</si>
  <si>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</si>
  <si>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</si>
  <si>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</si>
  <si>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</si>
  <si>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</si>
  <si>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</si>
  <si>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</si>
  <si>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</si>
  <si>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</si>
  <si>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</si>
  <si>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</si>
  <si>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</si>
  <si>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</si>
  <si>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</si>
  <si>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</si>
  <si>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</si>
  <si>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</si>
  <si>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</si>
  <si>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</si>
  <si>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</si>
  <si>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</si>
  <si>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</si>
  <si>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</si>
  <si>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</si>
  <si>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</si>
  <si>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</si>
  <si>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</si>
  <si>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</si>
  <si>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</si>
  <si>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</si>
  <si>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</si>
  <si>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</si>
  <si>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</si>
  <si>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</si>
  <si>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</si>
  <si>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</si>
  <si>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</si>
  <si>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</si>
  <si>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</si>
  <si>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</si>
  <si>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</si>
  <si>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</si>
  <si>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</si>
  <si>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</si>
  <si>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</si>
  <si>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</si>
  <si>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</si>
  <si>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</si>
  <si>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</si>
  <si>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</si>
  <si>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</si>
  <si>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</si>
  <si>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</si>
  <si>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</si>
  <si>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</si>
  <si>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</si>
  <si>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</si>
  <si>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</si>
  <si>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</si>
  <si>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</si>
  <si>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</si>
  <si>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</si>
  <si>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</si>
  <si>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</si>
  <si>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</si>
  <si>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</si>
  <si>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</si>
  <si>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</si>
  <si>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</si>
  <si>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</si>
  <si>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</si>
  <si>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</si>
  <si>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</si>
  <si>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</si>
  <si>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</si>
  <si>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</si>
  <si>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</si>
  <si>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</si>
  <si>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</si>
  <si>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</si>
  <si>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</si>
  <si>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</si>
  <si>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</si>
  <si>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</si>
  <si>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</si>
  <si>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</si>
  <si>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</si>
  <si>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</si>
  <si>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</si>
  <si>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</si>
  <si>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</si>
  <si>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</si>
  <si>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</si>
  <si>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</si>
  <si>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</si>
  <si>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</si>
  <si>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</si>
  <si>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</si>
  <si>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</si>
  <si>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</si>
  <si>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</si>
  <si>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</si>
  <si>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</si>
  <si>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</si>
  <si>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</si>
  <si>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</si>
  <si>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</si>
  <si>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</si>
  <si>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</si>
  <si>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</si>
  <si>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</si>
  <si>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</si>
  <si>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</si>
  <si>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</si>
  <si>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</si>
  <si>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</si>
  <si>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</si>
  <si>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</si>
  <si>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</si>
  <si>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</si>
  <si>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</si>
  <si>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</si>
  <si>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</si>
  <si>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</si>
  <si>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</si>
  <si>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</si>
  <si>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</si>
  <si>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</si>
  <si>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</si>
  <si>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</si>
  <si>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</si>
  <si>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</si>
  <si>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</si>
  <si>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</si>
  <si>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</si>
  <si>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</si>
  <si>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</si>
  <si>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</si>
  <si>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</si>
  <si>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</si>
  <si>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</si>
  <si>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</si>
  <si>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</si>
  <si>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</si>
  <si>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</si>
  <si>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</si>
  <si>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</si>
  <si>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</si>
  <si>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</si>
  <si>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</si>
  <si>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</si>
  <si>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</si>
  <si>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</si>
  <si>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</si>
  <si>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</si>
  <si>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</si>
  <si>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</si>
  <si>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</si>
  <si>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</si>
  <si>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</si>
  <si>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</si>
  <si>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</si>
  <si>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</si>
  <si>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</si>
  <si>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</si>
  <si>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</si>
  <si>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</si>
  <si>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</si>
  <si>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</si>
  <si>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</si>
  <si>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</si>
  <si>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</si>
  <si>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</si>
  <si>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</si>
  <si>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</si>
  <si>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</si>
  <si>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</si>
  <si>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</si>
  <si>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</si>
  <si>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</si>
  <si>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</si>
  <si>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</si>
  <si>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</si>
  <si>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</si>
  <si>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</si>
  <si>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</si>
  <si>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</si>
  <si>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</si>
  <si>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</si>
  <si>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</si>
  <si>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</si>
  <si>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</si>
  <si>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</si>
  <si>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</si>
  <si>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</si>
  <si>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</si>
  <si>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</si>
  <si>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</si>
  <si>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</si>
  <si>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</si>
  <si>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</si>
  <si>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</si>
  <si>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</si>
  <si>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</si>
  <si>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</si>
  <si>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</si>
  <si>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</si>
  <si>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</si>
  <si>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</si>
  <si>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</si>
  <si>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</si>
  <si>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</si>
  <si>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</si>
  <si>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</si>
  <si>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</si>
  <si>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</si>
  <si>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</si>
  <si>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</si>
  <si>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</si>
  <si>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</si>
  <si>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</si>
  <si>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</si>
  <si>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</si>
  <si>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</si>
  <si>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</si>
  <si>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</si>
  <si>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</si>
  <si>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</si>
  <si>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</si>
  <si>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</si>
  <si>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</si>
  <si>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</si>
  <si>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</si>
  <si>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</si>
  <si>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</si>
  <si>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</si>
  <si>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</si>
  <si>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</si>
  <si>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</si>
  <si>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</si>
  <si>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</si>
  <si>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</si>
  <si>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</si>
  <si>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</si>
  <si>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</si>
  <si>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</si>
  <si>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</si>
  <si>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</si>
  <si>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</si>
  <si>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</si>
  <si>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</si>
  <si>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</si>
  <si>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</si>
  <si>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</si>
  <si>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</si>
  <si>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</si>
  <si>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</si>
  <si>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</si>
  <si>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</si>
  <si>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</si>
  <si>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</si>
  <si>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</si>
  <si>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</si>
  <si>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</si>
  <si>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</si>
  <si>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</si>
  <si>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</si>
  <si>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</si>
  <si>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</si>
  <si>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</si>
  <si>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</si>
  <si>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</si>
  <si>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</si>
  <si>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</si>
  <si>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</si>
  <si>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</si>
  <si>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</si>
  <si>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</si>
  <si>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</si>
  <si>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</si>
  <si>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</si>
  <si>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</si>
  <si>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</si>
  <si>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</si>
  <si>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</si>
  <si>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</si>
  <si>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</si>
  <si>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</si>
  <si>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</si>
  <si>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</si>
  <si>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</si>
  <si>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</si>
  <si>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</si>
  <si>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</si>
  <si>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</si>
  <si>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</si>
  <si>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</si>
  <si>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</si>
  <si>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</si>
  <si>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</si>
  <si>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</si>
  <si>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</si>
  <si>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</si>
  <si>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</si>
  <si>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</si>
  <si>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</si>
  <si>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</si>
  <si>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</si>
  <si>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</si>
  <si>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</si>
  <si>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</si>
  <si>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</si>
  <si>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</si>
  <si>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</si>
  <si>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</si>
  <si>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</si>
  <si>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</si>
  <si>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</si>
  <si>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</si>
  <si>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</si>
  <si>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</si>
  <si>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</si>
  <si>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</si>
  <si>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</si>
  <si>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</si>
  <si>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</si>
  <si>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</si>
  <si>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</si>
  <si>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</si>
  <si>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</si>
  <si>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</si>
  <si>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</si>
  <si>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</si>
  <si>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</si>
  <si>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</si>
  <si>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</si>
  <si>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</si>
  <si>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</si>
  <si>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</si>
  <si>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</si>
  <si>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</si>
  <si>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</si>
  <si>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</si>
  <si>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</si>
  <si>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</si>
  <si>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</si>
  <si>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</si>
  <si>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</si>
  <si>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</si>
  <si>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</si>
  <si>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</si>
  <si>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</si>
  <si>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</si>
  <si>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</si>
  <si>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</si>
  <si>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</si>
  <si>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</si>
  <si>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</si>
  <si>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</si>
  <si>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</si>
  <si>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</si>
  <si>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</si>
  <si>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</si>
  <si>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</si>
  <si>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</si>
  <si>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</si>
  <si>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</si>
  <si>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</si>
  <si>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</si>
  <si>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</si>
  <si>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</si>
  <si>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</si>
  <si>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</si>
  <si>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</si>
  <si>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</si>
  <si>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</si>
  <si>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</si>
  <si>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</si>
  <si>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</si>
  <si>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</si>
  <si>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</si>
  <si>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</si>
  <si>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</si>
  <si>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</si>
  <si>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</si>
  <si>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</si>
  <si>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</si>
  <si>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</si>
  <si>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</si>
  <si>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</si>
  <si>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</si>
  <si>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</si>
  <si>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</si>
  <si>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</si>
  <si>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</si>
  <si>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</si>
  <si>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</si>
  <si>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</si>
  <si>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</si>
  <si>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</si>
  <si>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</si>
  <si>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</si>
  <si>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</si>
  <si>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</si>
  <si>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</si>
  <si>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</si>
  <si>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</si>
  <si>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</si>
  <si>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</si>
  <si>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</si>
  <si>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</si>
  <si>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</si>
  <si>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</si>
  <si>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</si>
  <si>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</si>
  <si>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</si>
  <si>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</si>
  <si>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</si>
  <si>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</si>
  <si>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</si>
  <si>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</si>
  <si>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</si>
  <si>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</si>
  <si>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</si>
  <si>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</si>
  <si>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</si>
  <si>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</si>
  <si>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</si>
  <si>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</si>
  <si>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</si>
  <si>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</si>
  <si>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</si>
  <si>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</si>
  <si>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</si>
  <si>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</si>
  <si>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</si>
  <si>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</si>
  <si>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</si>
  <si>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</si>
  <si>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</si>
  <si>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</si>
  <si>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</si>
  <si>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</si>
  <si>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</si>
  <si>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</si>
  <si>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</si>
  <si>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</si>
  <si>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</si>
  <si>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</si>
  <si>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</si>
  <si>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</si>
  <si>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</si>
  <si>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</si>
  <si>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</si>
  <si>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</si>
  <si>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</si>
  <si>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</si>
  <si>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</si>
  <si>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</si>
  <si>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</si>
  <si>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</si>
  <si>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</si>
  <si>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</si>
  <si>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</si>
  <si>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</si>
  <si>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</si>
  <si>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</si>
  <si>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</si>
  <si>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</si>
  <si>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</si>
  <si>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</si>
  <si>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</si>
  <si>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</si>
  <si>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</si>
  <si>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</si>
  <si>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</si>
  <si>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</si>
  <si>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</si>
  <si>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</si>
  <si>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</si>
  <si>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</si>
  <si>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</si>
  <si>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</si>
  <si>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</si>
  <si>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</si>
  <si>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</si>
  <si>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</si>
  <si>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</si>
  <si>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</si>
  <si>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</si>
  <si>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</si>
  <si>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</si>
  <si>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</si>
  <si>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</si>
  <si>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</si>
  <si>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</si>
  <si>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</si>
  <si>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</si>
  <si>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</si>
  <si>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</si>
  <si>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</si>
  <si>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</si>
  <si>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</si>
  <si>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</si>
  <si>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</si>
  <si>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</si>
  <si>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</si>
  <si>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</si>
  <si>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</si>
  <si>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</si>
  <si>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</si>
  <si>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</si>
  <si>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</si>
  <si>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</si>
  <si>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</si>
  <si>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</si>
  <si>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</si>
  <si>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</si>
  <si>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</si>
  <si>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</si>
  <si>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</si>
  <si>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</si>
  <si>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</si>
  <si>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</si>
  <si>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</si>
  <si>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</si>
  <si>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</si>
  <si>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</si>
  <si>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</si>
  <si>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</si>
  <si>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</si>
  <si>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</si>
  <si>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</si>
  <si>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</si>
  <si>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</si>
  <si>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</si>
  <si>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</si>
  <si>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</si>
  <si>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</si>
  <si>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</si>
  <si>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</si>
  <si>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</si>
  <si>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</si>
  <si>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</si>
  <si>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</si>
  <si>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</si>
  <si>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</si>
  <si>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</si>
  <si>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</si>
  <si>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</si>
  <si>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</si>
  <si>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</si>
  <si>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</si>
  <si>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</si>
  <si>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</si>
  <si>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</si>
  <si>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</si>
  <si>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</si>
  <si>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</si>
  <si>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</si>
  <si>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</si>
  <si>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</si>
  <si>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</si>
  <si>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</si>
  <si>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</si>
  <si>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</si>
  <si>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</si>
  <si>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</si>
  <si>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</si>
  <si>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</si>
  <si>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</si>
  <si>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</si>
  <si>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</si>
  <si>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</si>
  <si>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</si>
  <si>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</si>
  <si>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</si>
  <si>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</si>
  <si>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</si>
  <si>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</si>
  <si>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</si>
  <si>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</si>
  <si>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</si>
  <si>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</si>
  <si>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</si>
  <si>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</si>
  <si>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</si>
  <si>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</si>
  <si>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</si>
  <si>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</si>
  <si>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</si>
  <si>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</si>
  <si>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</si>
  <si>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</si>
  <si>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</si>
  <si>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</si>
  <si>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</si>
  <si>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</si>
  <si>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</si>
  <si>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</si>
  <si>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</si>
  <si>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</si>
  <si>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</si>
  <si>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</si>
  <si>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</si>
  <si>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</si>
  <si>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</si>
  <si>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</si>
  <si>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</si>
  <si>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</si>
  <si>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</si>
  <si>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</si>
  <si>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</si>
  <si>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</si>
  <si>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</si>
  <si>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</si>
  <si>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</si>
  <si>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</si>
  <si>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</si>
  <si>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</si>
  <si>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</si>
  <si>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</si>
  <si>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</si>
  <si>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</si>
  <si>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</si>
  <si>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</si>
  <si>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</si>
  <si>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</si>
  <si>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</si>
  <si>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</si>
  <si>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</si>
  <si>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</si>
  <si>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</si>
  <si>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</si>
  <si>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</si>
  <si>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</si>
  <si>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</si>
  <si>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</si>
  <si>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</si>
  <si>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</si>
  <si>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</si>
  <si>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</si>
  <si>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</si>
  <si>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</si>
  <si>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</si>
  <si>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</si>
  <si>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</si>
  <si>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</si>
  <si>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</si>
  <si>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</si>
  <si>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</si>
  <si>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</si>
  <si>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</si>
  <si>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</si>
  <si>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</si>
  <si>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</si>
  <si>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</si>
  <si>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</si>
  <si>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</si>
  <si>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</si>
  <si>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</si>
  <si>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</si>
  <si>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</si>
  <si>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</si>
  <si>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</si>
  <si>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</si>
  <si>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</si>
  <si>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</si>
  <si>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</si>
  <si>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</si>
  <si>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</si>
  <si>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</si>
  <si>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</si>
  <si>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</si>
  <si>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</si>
  <si>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</si>
  <si>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</si>
  <si>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</si>
  <si>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</si>
  <si>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</si>
  <si>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</si>
  <si>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</si>
  <si>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</si>
  <si>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</si>
  <si>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</si>
  <si>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</si>
  <si>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</si>
  <si>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</si>
  <si>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</si>
  <si>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</si>
  <si>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</si>
  <si>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</si>
  <si>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</si>
  <si>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</si>
  <si>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</si>
  <si>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</si>
  <si>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</si>
  <si>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</si>
  <si>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</si>
  <si>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</si>
  <si>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</si>
  <si>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</si>
  <si>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</si>
  <si>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</si>
  <si>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</si>
  <si>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</si>
  <si>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</si>
  <si>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</si>
  <si>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</si>
  <si>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</si>
  <si>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</si>
  <si>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</si>
  <si>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</si>
  <si>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</si>
  <si>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</si>
  <si>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</si>
  <si>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</si>
  <si>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</si>
  <si>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</si>
  <si>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</si>
  <si>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</si>
  <si>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</si>
  <si>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</si>
  <si>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</si>
  <si>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</si>
  <si>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</si>
  <si>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</si>
  <si>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</si>
  <si>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</si>
  <si>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</si>
  <si>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</si>
  <si>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</si>
  <si>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</si>
  <si>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</si>
  <si>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</si>
  <si>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</si>
  <si>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</si>
  <si>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</si>
  <si>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</si>
  <si>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</si>
  <si>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</si>
  <si>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</si>
  <si>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</si>
  <si>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</si>
  <si>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</si>
  <si>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</si>
  <si>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</si>
  <si>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</si>
  <si>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</si>
  <si>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</si>
  <si>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</si>
  <si>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</si>
  <si>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</si>
  <si>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</si>
  <si>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</si>
  <si>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</si>
  <si>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</si>
  <si>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</si>
  <si>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</si>
  <si>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</si>
  <si>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</si>
  <si>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</si>
  <si>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</si>
  <si>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</si>
  <si>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</si>
  <si>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</si>
  <si>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</si>
  <si>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</si>
  <si>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</si>
  <si>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</si>
  <si>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</si>
  <si>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</si>
  <si>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</si>
  <si>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</si>
  <si>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</si>
  <si>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</si>
  <si>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</si>
  <si>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</si>
  <si>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</si>
  <si>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</si>
  <si>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</si>
  <si>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</si>
  <si>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</si>
  <si>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</si>
  <si>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</si>
  <si>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</si>
  <si>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</si>
  <si>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</si>
  <si>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</si>
  <si>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</si>
  <si>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</si>
  <si>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</si>
  <si>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</si>
  <si>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</si>
  <si>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</si>
  <si>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</si>
  <si>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</si>
  <si>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</si>
  <si>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</si>
  <si>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</si>
  <si>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</si>
  <si>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</si>
  <si>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04/02/2021</t>
  </si>
  <si>
    <t>07/10/2020</t>
  </si>
  <si>
    <t>12/07/2023</t>
  </si>
  <si>
    <t>27/11/2021</t>
  </si>
  <si>
    <t>01/05/2022</t>
  </si>
  <si>
    <t>06/10/2020</t>
  </si>
  <si>
    <t>04/03/2020</t>
  </si>
  <si>
    <t>17/07/2022</t>
  </si>
  <si>
    <t>12/08/2023</t>
  </si>
  <si>
    <t>08/04/2022</t>
  </si>
  <si>
    <t>07/06/2024</t>
  </si>
  <si>
    <t>09/04/2023</t>
  </si>
  <si>
    <t>03/05/2024</t>
  </si>
  <si>
    <t>10/10/2020</t>
  </si>
  <si>
    <t>06/10/2024</t>
  </si>
  <si>
    <t>29/05/2021</t>
  </si>
  <si>
    <t>23/04/2024</t>
  </si>
  <si>
    <t>28/11/2024</t>
  </si>
  <si>
    <t>19/09/2024</t>
  </si>
  <si>
    <t>01/02/2020</t>
  </si>
  <si>
    <t>05/08/2021</t>
  </si>
  <si>
    <t>19/09/2020</t>
  </si>
  <si>
    <t>03/09/2021</t>
  </si>
  <si>
    <t>02/03/2022</t>
  </si>
  <si>
    <t>13/02/2020</t>
  </si>
  <si>
    <t>30/04/2020</t>
  </si>
  <si>
    <t>10/02/2023</t>
  </si>
  <si>
    <t>07/12/2020</t>
  </si>
  <si>
    <t>10/11/2023</t>
  </si>
  <si>
    <t>24/05/2021</t>
  </si>
  <si>
    <t>26/05/2021</t>
  </si>
  <si>
    <t>11/05/2024</t>
  </si>
  <si>
    <t>08/07/2021</t>
  </si>
  <si>
    <t>29/04/2020</t>
  </si>
  <si>
    <t>26/10/2022</t>
  </si>
  <si>
    <t>05/03/2023</t>
  </si>
  <si>
    <t>05/02/2023</t>
  </si>
  <si>
    <t>10/05/2021</t>
  </si>
  <si>
    <t>27/07/2022</t>
  </si>
  <si>
    <t>27/06/2021</t>
  </si>
  <si>
    <t>16/06/2022</t>
  </si>
  <si>
    <t>12/03/2024</t>
  </si>
  <si>
    <t>23/05/2023</t>
  </si>
  <si>
    <t>07/08/2020</t>
  </si>
  <si>
    <t>20/06/2021</t>
  </si>
  <si>
    <t>13/12/2024</t>
  </si>
  <si>
    <t>30/05/2022</t>
  </si>
  <si>
    <t>27/09/2023</t>
  </si>
  <si>
    <t>11/11/2021</t>
  </si>
  <si>
    <t>22/02/2022</t>
  </si>
  <si>
    <t>08/07/2024</t>
  </si>
  <si>
    <t>11/09/2021</t>
  </si>
  <si>
    <t>08/10/2020</t>
  </si>
  <si>
    <t>27/02/2022</t>
  </si>
  <si>
    <t>11/07/2023</t>
  </si>
  <si>
    <t>11/07/2021</t>
  </si>
  <si>
    <t>16/04/2022</t>
  </si>
  <si>
    <t>19/10/2023</t>
  </si>
  <si>
    <t>08/10/2021</t>
  </si>
  <si>
    <t>13/03/2021</t>
  </si>
  <si>
    <t>20/07/2023</t>
  </si>
  <si>
    <t>20/02/2020</t>
  </si>
  <si>
    <t>02/02/2021</t>
  </si>
  <si>
    <t>01/12/2020</t>
  </si>
  <si>
    <t>26/11/2022</t>
  </si>
  <si>
    <t>23/12/2022</t>
  </si>
  <si>
    <t>28/08/2024</t>
  </si>
  <si>
    <t>16/09/2024</t>
  </si>
  <si>
    <t>01/01/2024</t>
  </si>
  <si>
    <t>18/04/2021</t>
  </si>
  <si>
    <t>16/01/2023</t>
  </si>
  <si>
    <t>20/10/2024</t>
  </si>
  <si>
    <t>13/10/2024</t>
  </si>
  <si>
    <t>21/09/2022</t>
  </si>
  <si>
    <t>29/12/2022</t>
  </si>
  <si>
    <t>11/10/2024</t>
  </si>
  <si>
    <t>22/11/2021</t>
  </si>
  <si>
    <t>14/03/2024</t>
  </si>
  <si>
    <t>23/03/2020</t>
  </si>
  <si>
    <t>15/09/2020</t>
  </si>
  <si>
    <t>12/09/2020</t>
  </si>
  <si>
    <t>22/02/2020</t>
  </si>
  <si>
    <t>27/04/2023</t>
  </si>
  <si>
    <t>18/06/2024</t>
  </si>
  <si>
    <t>21/05/2020</t>
  </si>
  <si>
    <t>25/07/2023</t>
  </si>
  <si>
    <t>25/08/2023</t>
  </si>
  <si>
    <t>07/03/2021</t>
  </si>
  <si>
    <t>13/03/2023</t>
  </si>
  <si>
    <t>03/10/2021</t>
  </si>
  <si>
    <t>21/01/2020</t>
  </si>
  <si>
    <t>15/11/2023</t>
  </si>
  <si>
    <t>04/08/2022</t>
  </si>
  <si>
    <t>21/05/2022</t>
  </si>
  <si>
    <t>17/04/2021</t>
  </si>
  <si>
    <t>19/03/2021</t>
  </si>
  <si>
    <t>01/09/2022</t>
  </si>
  <si>
    <t>21/08/2021</t>
  </si>
  <si>
    <t>19/08/2022</t>
  </si>
  <si>
    <t>31/03/2022</t>
  </si>
  <si>
    <t>23/06/2020</t>
  </si>
  <si>
    <t>05/07/2024</t>
  </si>
  <si>
    <t>03/10/2023</t>
  </si>
  <si>
    <t>14/09/2023</t>
  </si>
  <si>
    <t>11/12/2023</t>
  </si>
  <si>
    <t>26/10/2024</t>
  </si>
  <si>
    <t>23/08/2020</t>
  </si>
  <si>
    <t>06/11/2024</t>
  </si>
  <si>
    <t>14/09/2021</t>
  </si>
  <si>
    <t>26/12/2024</t>
  </si>
  <si>
    <t>09/08/2024</t>
  </si>
  <si>
    <t>21/08/2022</t>
  </si>
  <si>
    <t>25/07/2024</t>
  </si>
  <si>
    <t>08/02/2020</t>
  </si>
  <si>
    <t>16/03/2020</t>
  </si>
  <si>
    <t>09/08/2023</t>
  </si>
  <si>
    <t>29/03/2024</t>
  </si>
  <si>
    <t>08/12/2021</t>
  </si>
  <si>
    <t>24/12/2023</t>
  </si>
  <si>
    <t>28/08/2020</t>
  </si>
  <si>
    <t>09/05/2024</t>
  </si>
  <si>
    <t>05/12/2023</t>
  </si>
  <si>
    <t>07/01/2021</t>
  </si>
  <si>
    <t>11/07/2024</t>
  </si>
  <si>
    <t>21/07/2022</t>
  </si>
  <si>
    <t>30/03/2020</t>
  </si>
  <si>
    <t>10/11/2022</t>
  </si>
  <si>
    <t>24/07/2022</t>
  </si>
  <si>
    <t>30/06/2023</t>
  </si>
  <si>
    <t>01/11/2024</t>
  </si>
  <si>
    <t>11/02/2023</t>
  </si>
  <si>
    <t>22/11/2024</t>
  </si>
  <si>
    <t>23/08/2021</t>
  </si>
  <si>
    <t>04/09/2023</t>
  </si>
  <si>
    <t>07/05/2024</t>
  </si>
  <si>
    <t>09/04/2021</t>
  </si>
  <si>
    <t>14/02/2020</t>
  </si>
  <si>
    <t>04/10/2020</t>
  </si>
  <si>
    <t>27/07/2023</t>
  </si>
  <si>
    <t>24/09/2021</t>
  </si>
  <si>
    <t>03/10/2024</t>
  </si>
  <si>
    <t>06/10/2021</t>
  </si>
  <si>
    <t>15/10/2020</t>
  </si>
  <si>
    <t>29/01/2020</t>
  </si>
  <si>
    <t>30/01/2022</t>
  </si>
  <si>
    <t>29/03/2021</t>
  </si>
  <si>
    <t>13/10/2020</t>
  </si>
  <si>
    <t>10/04/2020</t>
  </si>
  <si>
    <t>18/12/2024</t>
  </si>
  <si>
    <t>14/11/2023</t>
  </si>
  <si>
    <t>20/01/2023</t>
  </si>
  <si>
    <t>10/02/2024</t>
  </si>
  <si>
    <t>13/05/2021</t>
  </si>
  <si>
    <t>18/03/2021</t>
  </si>
  <si>
    <t>23/09/2020</t>
  </si>
  <si>
    <t>06/05/2024</t>
  </si>
  <si>
    <t>28/02/2024</t>
  </si>
  <si>
    <t>30/04/2023</t>
  </si>
  <si>
    <t>03/04/2020</t>
  </si>
  <si>
    <t>29/12/2023</t>
  </si>
  <si>
    <t>18/07/2022</t>
  </si>
  <si>
    <t>13/07/2022</t>
  </si>
  <si>
    <t>10/02/2021</t>
  </si>
  <si>
    <t>07/05/2020</t>
  </si>
  <si>
    <t>16/04/2023</t>
  </si>
  <si>
    <t>11/12/2024</t>
  </si>
  <si>
    <t>29/03/2023</t>
  </si>
  <si>
    <t>22/01/2022</t>
  </si>
  <si>
    <t>14/10/2023</t>
  </si>
  <si>
    <t>04/10/2024</t>
  </si>
  <si>
    <t>02/09/2022</t>
  </si>
  <si>
    <t>05/06/2023</t>
  </si>
  <si>
    <t>07/11/2021</t>
  </si>
  <si>
    <t>21/08/2020</t>
  </si>
  <si>
    <t>27/03/2021</t>
  </si>
  <si>
    <t>14/04/2024</t>
  </si>
  <si>
    <t>21/09/2020</t>
  </si>
  <si>
    <t>06/12/2022</t>
  </si>
  <si>
    <t>31/07/2022</t>
  </si>
  <si>
    <t>21/04/2023</t>
  </si>
  <si>
    <t>06/05/2020</t>
  </si>
  <si>
    <t>27/07/2024</t>
  </si>
  <si>
    <t>04/05/2024</t>
  </si>
  <si>
    <t>26/10/2023</t>
  </si>
  <si>
    <t>18/08/2022</t>
  </si>
  <si>
    <t>31/05/2020</t>
  </si>
  <si>
    <t>11/04/2024</t>
  </si>
  <si>
    <t>25/03/2020</t>
  </si>
  <si>
    <t>11/04/2020</t>
  </si>
  <si>
    <t>21/03/2020</t>
  </si>
  <si>
    <t>15/01/2022</t>
  </si>
  <si>
    <t>06/04/2024</t>
  </si>
  <si>
    <t>08/04/2021</t>
  </si>
  <si>
    <t>16/10/2020</t>
  </si>
  <si>
    <t>26/09/2021</t>
  </si>
  <si>
    <t>11/04/2023</t>
  </si>
  <si>
    <t>06/07/2020</t>
  </si>
  <si>
    <t>02/10/2022</t>
  </si>
  <si>
    <t>17/10/2023</t>
  </si>
  <si>
    <t>25/09/2021</t>
  </si>
  <si>
    <t>08/03/2022</t>
  </si>
  <si>
    <t>10/09/2024</t>
  </si>
  <si>
    <t>19/04/2020</t>
  </si>
  <si>
    <t>14/10/2021</t>
  </si>
  <si>
    <t>26/08/2024</t>
  </si>
  <si>
    <t>02/08/2020</t>
  </si>
  <si>
    <t>09/06/2020</t>
  </si>
  <si>
    <t>01/02/2023</t>
  </si>
  <si>
    <t>13/06/2023</t>
  </si>
  <si>
    <t>13/12/2022</t>
  </si>
  <si>
    <t>03/03/2022</t>
  </si>
  <si>
    <t>02/10/2024</t>
  </si>
  <si>
    <t>24/11/2021</t>
  </si>
  <si>
    <t>05/09/2020</t>
  </si>
  <si>
    <t>19/12/2024</t>
  </si>
  <si>
    <t>22/03/2024</t>
  </si>
  <si>
    <t>13/06/2022</t>
  </si>
  <si>
    <t>15/10/2022</t>
  </si>
  <si>
    <t>31/05/2022</t>
  </si>
  <si>
    <t>15/09/2023</t>
  </si>
  <si>
    <t>07/04/2022</t>
  </si>
  <si>
    <t>06/08/2024</t>
  </si>
  <si>
    <t>23/11/2020</t>
  </si>
  <si>
    <t>13/05/2024</t>
  </si>
  <si>
    <t>29/01/2022</t>
  </si>
  <si>
    <t>23/08/2023</t>
  </si>
  <si>
    <t>24/02/2023</t>
  </si>
  <si>
    <t>10/02/2022</t>
  </si>
  <si>
    <t>28/06/2020</t>
  </si>
  <si>
    <t>15/01/2023</t>
  </si>
  <si>
    <t>09/05/2020</t>
  </si>
  <si>
    <t>18/03/2023</t>
  </si>
  <si>
    <t>26/03/2022</t>
  </si>
  <si>
    <t>10/11/2021</t>
  </si>
  <si>
    <t>01/07/2021</t>
  </si>
  <si>
    <t>12/03/2020</t>
  </si>
  <si>
    <t>28/05/2021</t>
  </si>
  <si>
    <t>28/12/2022</t>
  </si>
  <si>
    <t>24/05/2023</t>
  </si>
  <si>
    <t>28/04/2024</t>
  </si>
  <si>
    <t>25/12/2024</t>
  </si>
  <si>
    <t>09/01/2021</t>
  </si>
  <si>
    <t>21/02/2021</t>
  </si>
  <si>
    <t>20/11/2022</t>
  </si>
  <si>
    <t>24/07/2024</t>
  </si>
  <si>
    <t>14/08/2022</t>
  </si>
  <si>
    <t>10/09/2023</t>
  </si>
  <si>
    <t>19/01/2022</t>
  </si>
  <si>
    <t>01/12/2022</t>
  </si>
  <si>
    <t>06/05/2023</t>
  </si>
  <si>
    <t>26/03/2024</t>
  </si>
  <si>
    <t>10/07/2020</t>
  </si>
  <si>
    <t>11/02/2021</t>
  </si>
  <si>
    <t>19/11/2021</t>
  </si>
  <si>
    <t>24/01/2022</t>
  </si>
  <si>
    <t>07/12/2023</t>
  </si>
  <si>
    <t>12/09/2022</t>
  </si>
  <si>
    <t>25/04/2022</t>
  </si>
  <si>
    <t>28/02/2021</t>
  </si>
  <si>
    <t>30/07/2022</t>
  </si>
  <si>
    <t>19/05/2021</t>
  </si>
  <si>
    <t>14/12/2023</t>
  </si>
  <si>
    <t>17/01/2023</t>
  </si>
  <si>
    <t>01/02/2024</t>
  </si>
  <si>
    <t>07/09/2021</t>
  </si>
  <si>
    <t>05/05/2021</t>
  </si>
  <si>
    <t>30/08/2023</t>
  </si>
  <si>
    <t>15/08/2023</t>
  </si>
  <si>
    <t>24/12/2020</t>
  </si>
  <si>
    <t>21/11/2024</t>
  </si>
  <si>
    <t>17/11/2021</t>
  </si>
  <si>
    <t>29/01/2021</t>
  </si>
  <si>
    <t>17/02/2024</t>
  </si>
  <si>
    <t>20/08/2024</t>
  </si>
  <si>
    <t>24/10/2021</t>
  </si>
  <si>
    <t>09/10/2021</t>
  </si>
  <si>
    <t>29/09/2023</t>
  </si>
  <si>
    <t>09/06/2022</t>
  </si>
  <si>
    <t>31/03/2024</t>
  </si>
  <si>
    <t>12/12/2022</t>
  </si>
  <si>
    <t>11/01/2022</t>
  </si>
  <si>
    <t>25/10/2023</t>
  </si>
  <si>
    <t>27/09/2020</t>
  </si>
  <si>
    <t>21/01/2024</t>
  </si>
  <si>
    <t>17/05/2022</t>
  </si>
  <si>
    <t>17/04/2022</t>
  </si>
  <si>
    <t>02/08/2022</t>
  </si>
  <si>
    <t>15/03/2022</t>
  </si>
  <si>
    <t>13/11/2020</t>
  </si>
  <si>
    <t>17/04/2024</t>
  </si>
  <si>
    <t>03/09/2020</t>
  </si>
  <si>
    <t>17/06/2022</t>
  </si>
  <si>
    <t>28/07/2024</t>
  </si>
  <si>
    <t>12/03/2022</t>
  </si>
  <si>
    <t>07/06/2023</t>
  </si>
  <si>
    <t>28/05/2024</t>
  </si>
  <si>
    <t>25/03/2024</t>
  </si>
  <si>
    <t>28/04/2020</t>
  </si>
  <si>
    <t>15/04/2020</t>
  </si>
  <si>
    <t>10/07/2023</t>
  </si>
  <si>
    <t>27/02/2024</t>
  </si>
  <si>
    <t>22/02/2021</t>
  </si>
  <si>
    <t>21/08/2023</t>
  </si>
  <si>
    <t>04/08/2024</t>
  </si>
  <si>
    <t>05/05/2022</t>
  </si>
  <si>
    <t>02/01/2023</t>
  </si>
  <si>
    <t>10/01/2022</t>
  </si>
  <si>
    <t>27/09/2022</t>
  </si>
  <si>
    <t>04/09/2020</t>
  </si>
  <si>
    <t>23/03/2021</t>
  </si>
  <si>
    <t>02/03/2023</t>
  </si>
  <si>
    <t>23/07/2024</t>
  </si>
  <si>
    <t>04/11/2022</t>
  </si>
  <si>
    <t>23/10/2024</t>
  </si>
  <si>
    <t>24/04/2020</t>
  </si>
  <si>
    <t>03/04/2023</t>
  </si>
  <si>
    <t>31/08/2022</t>
  </si>
  <si>
    <t>01/02/2021</t>
  </si>
  <si>
    <t>06/06/2020</t>
  </si>
  <si>
    <t>19/07/2020</t>
  </si>
  <si>
    <t>05/03/2024</t>
  </si>
  <si>
    <t>02/07/2022</t>
  </si>
  <si>
    <t>31/12/2023</t>
  </si>
  <si>
    <t>01/08/2022</t>
  </si>
  <si>
    <t>28/09/2020</t>
  </si>
  <si>
    <t>02/09/2023</t>
  </si>
  <si>
    <t>03/05/2022</t>
  </si>
  <si>
    <t>18/02/2022</t>
  </si>
  <si>
    <t>06/09/2022</t>
  </si>
  <si>
    <t>07/04/2023</t>
  </si>
  <si>
    <t>21/03/2022</t>
  </si>
  <si>
    <t>15/10/2021</t>
  </si>
  <si>
    <t>28/07/2021</t>
  </si>
  <si>
    <t>01/03/2021</t>
  </si>
  <si>
    <t>05/10/2021</t>
  </si>
  <si>
    <t>09/08/2022</t>
  </si>
  <si>
    <t>21/07/2024</t>
  </si>
  <si>
    <t>28/12/2021</t>
  </si>
  <si>
    <t>20/07/2020</t>
  </si>
  <si>
    <t>30/04/2024</t>
  </si>
  <si>
    <t>28/08/2021</t>
  </si>
  <si>
    <t>27/11/2023</t>
  </si>
  <si>
    <t>08/11/2020</t>
  </si>
  <si>
    <t>11/08/2021</t>
  </si>
  <si>
    <t>08/04/2023</t>
  </si>
  <si>
    <t>01/10/2020</t>
  </si>
  <si>
    <t>05/07/2023</t>
  </si>
  <si>
    <t>19/12/2020</t>
  </si>
  <si>
    <t>10/01/2020</t>
  </si>
  <si>
    <t>11/12/2022</t>
  </si>
  <si>
    <t>01/05/2023</t>
  </si>
  <si>
    <t>14/10/2020</t>
  </si>
  <si>
    <t>02/03/2021</t>
  </si>
  <si>
    <t>25/12/2023</t>
  </si>
  <si>
    <t>03/07/2020</t>
  </si>
  <si>
    <t>30/01/2023</t>
  </si>
  <si>
    <t>15/06/2023</t>
  </si>
  <si>
    <t>29/07/2021</t>
  </si>
  <si>
    <t>23/10/2023</t>
  </si>
  <si>
    <t>18/10/2020</t>
  </si>
  <si>
    <t>15/06/2024</t>
  </si>
  <si>
    <t>04/06/2023</t>
  </si>
  <si>
    <t>01/03/2022</t>
  </si>
  <si>
    <t>23/07/2022</t>
  </si>
  <si>
    <t>25/11/2024</t>
  </si>
  <si>
    <t>12/12/2023</t>
  </si>
  <si>
    <t>24/10/2023</t>
  </si>
  <si>
    <t>09/05/2022</t>
  </si>
  <si>
    <t>18/01/2020</t>
  </si>
  <si>
    <t>23/04/2022</t>
  </si>
  <si>
    <t>22/04/2023</t>
  </si>
  <si>
    <t>13/08/2023</t>
  </si>
  <si>
    <t>10/10/2022</t>
  </si>
  <si>
    <t>04/11/2024</t>
  </si>
  <si>
    <t>23/10/2022</t>
  </si>
  <si>
    <t>31/10/2021</t>
  </si>
  <si>
    <t>29/09/2024</t>
  </si>
  <si>
    <t>22/04/2020</t>
  </si>
  <si>
    <t>12/07/2020</t>
  </si>
  <si>
    <t>23/04/2020</t>
  </si>
  <si>
    <t>10/12/2023</t>
  </si>
  <si>
    <t>24/08/2022</t>
  </si>
  <si>
    <t>02/02/2022</t>
  </si>
  <si>
    <t>04/01/2022</t>
  </si>
  <si>
    <t>26/04/2023</t>
  </si>
  <si>
    <t>19/04/2022</t>
  </si>
  <si>
    <t>10/04/2024</t>
  </si>
  <si>
    <t>05/02/2020</t>
  </si>
  <si>
    <t>29/07/2023</t>
  </si>
  <si>
    <t>20/08/2021</t>
  </si>
  <si>
    <t>23/04/2021</t>
  </si>
  <si>
    <t>08/12/2022</t>
  </si>
  <si>
    <t>26/06/2021</t>
  </si>
  <si>
    <t>30/10/2020</t>
  </si>
  <si>
    <t>31/01/2023</t>
  </si>
  <si>
    <t>24/09/2020</t>
  </si>
  <si>
    <t>28/03/2020</t>
  </si>
  <si>
    <t>31/10/2023</t>
  </si>
  <si>
    <t>03/11/2020</t>
  </si>
  <si>
    <t>05/04/2020</t>
  </si>
  <si>
    <t>15/07/2023</t>
  </si>
  <si>
    <t>19/04/2024</t>
  </si>
  <si>
    <t>29/06/2021</t>
  </si>
  <si>
    <t>14/09/2024</t>
  </si>
  <si>
    <t>01/04/2022</t>
  </si>
  <si>
    <t>20/01/2021</t>
  </si>
  <si>
    <t>18/03/2020</t>
  </si>
  <si>
    <t>11/10/2021</t>
  </si>
  <si>
    <t>05/01/2020</t>
  </si>
  <si>
    <t>02/04/2022</t>
  </si>
  <si>
    <t>18/11/2020</t>
  </si>
  <si>
    <t>21/11/2023</t>
  </si>
  <si>
    <t>13/02/2022</t>
  </si>
  <si>
    <t>19/03/2023</t>
  </si>
  <si>
    <t>28/03/2021</t>
  </si>
  <si>
    <t>05/02/2021</t>
  </si>
  <si>
    <t>03/05/2021</t>
  </si>
  <si>
    <t>03/01/2022</t>
  </si>
  <si>
    <t>23/01/2023</t>
  </si>
  <si>
    <t>26/08/2021</t>
  </si>
  <si>
    <t>25/11/2020</t>
  </si>
  <si>
    <t>13/12/2023</t>
  </si>
  <si>
    <t>26/07/2020</t>
  </si>
  <si>
    <t>16/06/2020</t>
  </si>
  <si>
    <t>04/01/2020</t>
  </si>
  <si>
    <t>20/03/2024</t>
  </si>
  <si>
    <t>02/07/2023</t>
  </si>
  <si>
    <t>12/10/2024</t>
  </si>
  <si>
    <t>27/06/2024</t>
  </si>
  <si>
    <t>08/11/2024</t>
  </si>
  <si>
    <t>19/04/2023</t>
  </si>
  <si>
    <t>11/11/2024</t>
  </si>
  <si>
    <t>17/03/2023</t>
  </si>
  <si>
    <t>07/04/2021</t>
  </si>
  <si>
    <t>11/03/2023</t>
  </si>
  <si>
    <t>07/05/2021</t>
  </si>
  <si>
    <t>26/02/2024</t>
  </si>
  <si>
    <t>29/09/2021</t>
  </si>
  <si>
    <t>25/05/2021</t>
  </si>
  <si>
    <t>31/10/2022</t>
  </si>
  <si>
    <t>07/02/2022</t>
  </si>
  <si>
    <t>21/10/2024</t>
  </si>
  <si>
    <t>02/11/2020</t>
  </si>
  <si>
    <t>16/05/2023</t>
  </si>
  <si>
    <t>29/07/2022</t>
  </si>
  <si>
    <t>18/09/2023</t>
  </si>
  <si>
    <t>05/10/2020</t>
  </si>
  <si>
    <t>27/08/2023</t>
  </si>
  <si>
    <t>16/10/2021</t>
  </si>
  <si>
    <t>03/06/2022</t>
  </si>
  <si>
    <t>11/06/2023</t>
  </si>
  <si>
    <t>30/11/2024</t>
  </si>
  <si>
    <t>13/07/2024</t>
  </si>
  <si>
    <t>03/04/2024</t>
  </si>
  <si>
    <t>08/07/2022</t>
  </si>
  <si>
    <t>12/02/2021</t>
  </si>
  <si>
    <t>14/05/2024</t>
  </si>
  <si>
    <t>14/07/2022</t>
  </si>
  <si>
    <t>22/09/2020</t>
  </si>
  <si>
    <t>24/02/2022</t>
  </si>
  <si>
    <t>30/01/2024</t>
  </si>
  <si>
    <t>16/03/2024</t>
  </si>
  <si>
    <t>25/09/2020</t>
  </si>
  <si>
    <t>04/08/2020</t>
  </si>
  <si>
    <t>28/06/2022</t>
  </si>
  <si>
    <t>14/07/2023</t>
  </si>
  <si>
    <t>12/06/2023</t>
  </si>
  <si>
    <t>08/01/2021</t>
  </si>
  <si>
    <t>17/02/2021</t>
  </si>
  <si>
    <t>11/10/2023</t>
  </si>
  <si>
    <t>09/06/2024</t>
  </si>
  <si>
    <t>23/07/2020</t>
  </si>
  <si>
    <t>21/02/2024</t>
  </si>
  <si>
    <t>15/12/2020</t>
  </si>
  <si>
    <t>24/04/2023</t>
  </si>
  <si>
    <t>06/06/2023</t>
  </si>
  <si>
    <t>21/06/2022</t>
  </si>
  <si>
    <t>20/04/2024</t>
  </si>
  <si>
    <t>12/05/2023</t>
  </si>
  <si>
    <t>08/06/2023</t>
  </si>
  <si>
    <t>31/07/2024</t>
  </si>
  <si>
    <t>31/08/2020</t>
  </si>
  <si>
    <t>15/02/2023</t>
  </si>
  <si>
    <t>30/03/2021</t>
  </si>
  <si>
    <t>08/05/2020</t>
  </si>
  <si>
    <t>02/05/2021</t>
  </si>
  <si>
    <t>23/11/2021</t>
  </si>
  <si>
    <t>29/10/2022</t>
  </si>
  <si>
    <t>11/07/2022</t>
  </si>
  <si>
    <t>14/05/2023</t>
  </si>
  <si>
    <t>14/07/2021</t>
  </si>
  <si>
    <t>18/05/2023</t>
  </si>
  <si>
    <t>24/08/2023</t>
  </si>
  <si>
    <t>04/08/2023</t>
  </si>
  <si>
    <t>12/06/2022</t>
  </si>
  <si>
    <t>08/09/2021</t>
  </si>
  <si>
    <t>25/05/2024</t>
  </si>
  <si>
    <t>21/07/2023</t>
  </si>
  <si>
    <t>30/10/2023</t>
  </si>
  <si>
    <t>13/02/2023</t>
  </si>
  <si>
    <t>19/05/2020</t>
  </si>
  <si>
    <t>20/09/2023</t>
  </si>
  <si>
    <t>13/08/2024</t>
  </si>
  <si>
    <t>06/10/2023</t>
  </si>
  <si>
    <t>06/09/2021</t>
  </si>
  <si>
    <t>05/02/2024</t>
  </si>
  <si>
    <t>11/06/2024</t>
  </si>
  <si>
    <t>17/08/2023</t>
  </si>
  <si>
    <t>13/06/2021</t>
  </si>
  <si>
    <t>10/10/2023</t>
  </si>
  <si>
    <t>01/02/2022</t>
  </si>
  <si>
    <t>20/02/2022</t>
  </si>
  <si>
    <t>03/09/2024</t>
  </si>
  <si>
    <t>19/08/2023</t>
  </si>
  <si>
    <t>26/01/2024</t>
  </si>
  <si>
    <t>29/05/2020</t>
  </si>
  <si>
    <t>31/01/2021</t>
  </si>
  <si>
    <t>16/01/2022</t>
  </si>
  <si>
    <t>12/02/2024</t>
  </si>
  <si>
    <t>20/12/2024</t>
  </si>
  <si>
    <t>31/03/2023</t>
  </si>
  <si>
    <t>05/04/2021</t>
  </si>
  <si>
    <t>01/01/2021</t>
  </si>
  <si>
    <t>25/10/2021</t>
  </si>
  <si>
    <t>22/12/2020</t>
  </si>
  <si>
    <t>23/11/2022</t>
  </si>
  <si>
    <t>24/10/2022</t>
  </si>
  <si>
    <t>20/08/2020</t>
  </si>
  <si>
    <t>15/02/2020</t>
  </si>
  <si>
    <t>29/12/2024</t>
  </si>
  <si>
    <t>28/02/2023</t>
  </si>
  <si>
    <t>23/08/2022</t>
  </si>
  <si>
    <t>15/04/2021</t>
  </si>
  <si>
    <t>05/09/2022</t>
  </si>
  <si>
    <t>20/05/2023</t>
  </si>
  <si>
    <t>29/11/2023</t>
  </si>
  <si>
    <t>25/10/2024</t>
  </si>
  <si>
    <t>03/02/2024</t>
  </si>
  <si>
    <t>24/02/2021</t>
  </si>
  <si>
    <t>13/04/2023</t>
  </si>
  <si>
    <t>17/09/2022</t>
  </si>
  <si>
    <t>10/07/2024</t>
  </si>
  <si>
    <t>22/11/2022</t>
  </si>
  <si>
    <t>15/04/2023</t>
  </si>
  <si>
    <t>20/07/2022</t>
  </si>
  <si>
    <t>18/02/2023</t>
  </si>
  <si>
    <t>27/05/2021</t>
  </si>
  <si>
    <t>08/01/2022</t>
  </si>
  <si>
    <t>13/03/2024</t>
  </si>
  <si>
    <t>20/03/2023</t>
  </si>
  <si>
    <t>15/02/2024</t>
  </si>
  <si>
    <t>15/11/2020</t>
  </si>
  <si>
    <t>27/03/2020</t>
  </si>
  <si>
    <t>01/09/2021</t>
  </si>
  <si>
    <t>20/04/2020</t>
  </si>
  <si>
    <t>05/08/2024</t>
  </si>
  <si>
    <t>28/01/2023</t>
  </si>
  <si>
    <t>03/07/2021</t>
  </si>
  <si>
    <t>16/03/2023</t>
  </si>
  <si>
    <t>02/11/2023</t>
  </si>
  <si>
    <t>13/05/2022</t>
  </si>
  <si>
    <t>24/10/2024</t>
  </si>
  <si>
    <t>25/05/2023</t>
  </si>
  <si>
    <t>11/11/2022</t>
  </si>
  <si>
    <t>17/07/2023</t>
  </si>
  <si>
    <t>17/04/2023</t>
  </si>
  <si>
    <t>25/04/2021</t>
  </si>
  <si>
    <t>14/07/2020</t>
  </si>
  <si>
    <t>31/07/2020</t>
  </si>
  <si>
    <t>28/10/2024</t>
  </si>
  <si>
    <t>10/03/2020</t>
  </si>
  <si>
    <t>01/01/2020</t>
  </si>
  <si>
    <t>19/03/2022</t>
  </si>
  <si>
    <t>14/05/2022</t>
  </si>
  <si>
    <t>14/07/2024</t>
  </si>
  <si>
    <t>28/07/2023</t>
  </si>
  <si>
    <t>04/11/2020</t>
  </si>
  <si>
    <t>05/10/2022</t>
  </si>
  <si>
    <t>13/06/2020</t>
  </si>
  <si>
    <t>20/08/2022</t>
  </si>
  <si>
    <t>27/04/2024</t>
  </si>
  <si>
    <t>23/10/2021</t>
  </si>
  <si>
    <t>02/10/2021</t>
  </si>
  <si>
    <t>26/10/2021</t>
  </si>
  <si>
    <t>04/05/2023</t>
  </si>
  <si>
    <t>20/10/2022</t>
  </si>
  <si>
    <t>23/01/2024</t>
  </si>
  <si>
    <t>28/11/2023</t>
  </si>
  <si>
    <t>02/11/2024</t>
  </si>
  <si>
    <t>16/07/2020</t>
  </si>
  <si>
    <t>23/04/2023</t>
  </si>
  <si>
    <t>27/12/2024</t>
  </si>
  <si>
    <t>08/10/2024</t>
  </si>
  <si>
    <t>09/04/2024</t>
  </si>
  <si>
    <t>28/02/2022</t>
  </si>
  <si>
    <t>24/04/2022</t>
  </si>
  <si>
    <t>14/03/2021</t>
  </si>
  <si>
    <t>09/07/2021</t>
  </si>
  <si>
    <t>13/11/2022</t>
  </si>
  <si>
    <t>14/03/2023</t>
  </si>
  <si>
    <t>18/08/2024</t>
  </si>
  <si>
    <t>02/05/2024</t>
  </si>
  <si>
    <t>13/04/2020</t>
  </si>
  <si>
    <t>28/08/2023</t>
  </si>
  <si>
    <t>25/01/2021</t>
  </si>
  <si>
    <t>08/09/2024</t>
  </si>
  <si>
    <t>25/06/2023</t>
  </si>
  <si>
    <t>16/09/2021</t>
  </si>
  <si>
    <t>12/07/2022</t>
  </si>
  <si>
    <t>14/12/2022</t>
  </si>
  <si>
    <t>18/04/2020</t>
  </si>
  <si>
    <t>10/11/2024</t>
  </si>
  <si>
    <t>29/06/2020</t>
  </si>
  <si>
    <t>21/05/2021</t>
  </si>
  <si>
    <t>12/11/2021</t>
  </si>
  <si>
    <t>07/05/2023</t>
  </si>
  <si>
    <t>30/11/2021</t>
  </si>
  <si>
    <t>26/06/2024</t>
  </si>
  <si>
    <t>19/11/2020</t>
  </si>
  <si>
    <t>03/01/2020</t>
  </si>
  <si>
    <t>13/01/2021</t>
  </si>
  <si>
    <t>25/10/2022</t>
  </si>
  <si>
    <t>10/08/2020</t>
  </si>
  <si>
    <t>29/02/2024</t>
  </si>
  <si>
    <t>30/09/2022</t>
  </si>
  <si>
    <t>14/02/2024</t>
  </si>
  <si>
    <t>01/03/2023</t>
  </si>
  <si>
    <t>16/12/2024</t>
  </si>
  <si>
    <t>21/04/2020</t>
  </si>
  <si>
    <t>19/08/2020</t>
  </si>
  <si>
    <t>21/02/2020</t>
  </si>
  <si>
    <t>17/11/2023</t>
  </si>
  <si>
    <t>07/09/2022</t>
  </si>
  <si>
    <t>14/11/2024</t>
  </si>
  <si>
    <t>29/06/2023</t>
  </si>
  <si>
    <t>12/12/2024</t>
  </si>
  <si>
    <t>26/11/2020</t>
  </si>
  <si>
    <t>14/03/2020</t>
  </si>
  <si>
    <t>05/12/2020</t>
  </si>
  <si>
    <t>02/02/2024</t>
  </si>
  <si>
    <t>30/07/2021</t>
  </si>
  <si>
    <t>28/03/2023</t>
  </si>
  <si>
    <t>25/11/2021</t>
  </si>
  <si>
    <t>27/04/2022</t>
  </si>
  <si>
    <t>09/11/2021</t>
  </si>
  <si>
    <t>24/11/2024</t>
  </si>
  <si>
    <t>03/06/2024</t>
  </si>
  <si>
    <t>15/10/2023</t>
  </si>
  <si>
    <t>05/05/2023</t>
  </si>
  <si>
    <t>08/01/2024</t>
  </si>
  <si>
    <t>22/07/2024</t>
  </si>
  <si>
    <t>13/03/2022</t>
  </si>
  <si>
    <t>13/05/2020</t>
  </si>
  <si>
    <t>22/03/2023</t>
  </si>
  <si>
    <t>21/11/2020</t>
  </si>
  <si>
    <t>19/09/2023</t>
  </si>
  <si>
    <t>28/10/2021</t>
  </si>
  <si>
    <t>05/05/2020</t>
  </si>
  <si>
    <t>24/12/2022</t>
  </si>
  <si>
    <t>09/05/2021</t>
  </si>
  <si>
    <t>29/01/2023</t>
  </si>
  <si>
    <t>06/03/2022</t>
  </si>
  <si>
    <t>21/01/2023</t>
  </si>
  <si>
    <t>02/02/2020</t>
  </si>
  <si>
    <t>07/08/2024</t>
  </si>
  <si>
    <t>18/05/2022</t>
  </si>
  <si>
    <t>16/01/2020</t>
  </si>
  <si>
    <t>26/03/2023</t>
  </si>
  <si>
    <t>21/03/2023</t>
  </si>
  <si>
    <t>05/08/2023</t>
  </si>
  <si>
    <t>12/12/2020</t>
  </si>
  <si>
    <t>17/06/2020</t>
  </si>
  <si>
    <t>17/07/2021</t>
  </si>
  <si>
    <t>11/05/2020</t>
  </si>
  <si>
    <t>01/05/2021</t>
  </si>
  <si>
    <t>09/11/2024</t>
  </si>
  <si>
    <t>17/04/2020</t>
  </si>
  <si>
    <t>16/02/2022</t>
  </si>
  <si>
    <t>14/08/2021</t>
  </si>
  <si>
    <t>07/07/2021</t>
  </si>
  <si>
    <t>02/12/2024</t>
  </si>
  <si>
    <t>07/07/2020</t>
  </si>
  <si>
    <t>09/02/2020</t>
  </si>
  <si>
    <t>01/12/2021</t>
  </si>
  <si>
    <t>14/02/2021</t>
  </si>
  <si>
    <t>24/05/2020</t>
  </si>
  <si>
    <t>03/12/2022</t>
  </si>
  <si>
    <t>18/05/2024</t>
  </si>
  <si>
    <t>18/09/2024</t>
  </si>
  <si>
    <t>15/06/2022</t>
  </si>
  <si>
    <t>28/09/2022</t>
  </si>
  <si>
    <t>28/09/2023</t>
  </si>
  <si>
    <t>25/03/2023</t>
  </si>
  <si>
    <t>07/01/2020</t>
  </si>
  <si>
    <t>16/09/2020</t>
  </si>
  <si>
    <t>13/12/2021</t>
  </si>
  <si>
    <t>01/11/2022</t>
  </si>
  <si>
    <t>20/07/2021</t>
  </si>
  <si>
    <t>10/04/2023</t>
  </si>
  <si>
    <t>15/11/2021</t>
  </si>
  <si>
    <t>17/01/2024</t>
  </si>
  <si>
    <t>16/04/2021</t>
  </si>
  <si>
    <t>06/02/2023</t>
  </si>
  <si>
    <t>30/01/2020</t>
  </si>
  <si>
    <t>31/03/2021</t>
  </si>
  <si>
    <t>16/07/2024</t>
  </si>
  <si>
    <t>06/01/2024</t>
  </si>
  <si>
    <t>23/12/2024</t>
  </si>
  <si>
    <t>28/10/2022</t>
  </si>
  <si>
    <t>20/11/2023</t>
  </si>
  <si>
    <t>03/11/2022</t>
  </si>
  <si>
    <t>05/03/2022</t>
  </si>
  <si>
    <t>19/02/2024</t>
  </si>
  <si>
    <t>18/11/2021</t>
  </si>
  <si>
    <t>21/12/2022</t>
  </si>
  <si>
    <t>22/07/2022</t>
  </si>
  <si>
    <t>10/10/2021</t>
  </si>
  <si>
    <t>03/12/2020</t>
  </si>
  <si>
    <t>09/07/2022</t>
  </si>
  <si>
    <t>10/05/2024</t>
  </si>
  <si>
    <t>10/12/2021</t>
  </si>
  <si>
    <t>14/10/2024</t>
  </si>
  <si>
    <t>07/01/2022</t>
  </si>
  <si>
    <t>21/10/2020</t>
  </si>
  <si>
    <t>14/01/2020</t>
  </si>
  <si>
    <t>03/09/2023</t>
  </si>
  <si>
    <t>04/04/2021</t>
  </si>
  <si>
    <t>09/11/2020</t>
  </si>
  <si>
    <t>16/05/2021</t>
  </si>
  <si>
    <t>15/11/2022</t>
  </si>
  <si>
    <t>22/10/2021</t>
  </si>
  <si>
    <t>08/03/2024</t>
  </si>
  <si>
    <t>15/05/2020</t>
  </si>
  <si>
    <t>13/02/2021</t>
  </si>
  <si>
    <t>08/05/2024</t>
  </si>
  <si>
    <t>01/09/2020</t>
  </si>
  <si>
    <t>30/11/2023</t>
  </si>
  <si>
    <t>10/05/2020</t>
  </si>
  <si>
    <t>22/10/2023</t>
  </si>
  <si>
    <t>09/10/2023</t>
  </si>
  <si>
    <t>15/04/2024</t>
  </si>
  <si>
    <t>27/08/2024</t>
  </si>
  <si>
    <t>11/08/2020</t>
  </si>
  <si>
    <t>24/08/2021</t>
  </si>
  <si>
    <t>02/06/2020</t>
  </si>
  <si>
    <t>10/12/2024</t>
  </si>
  <si>
    <t>13/04/2024</t>
  </si>
  <si>
    <t>18/10/2021</t>
  </si>
  <si>
    <t>25/02/2020</t>
  </si>
  <si>
    <t>22/06/2020</t>
  </si>
  <si>
    <t>01/07/2023</t>
  </si>
  <si>
    <t>26/11/2021</t>
  </si>
  <si>
    <t>17/09/2024</t>
  </si>
  <si>
    <t>13/07/2021</t>
  </si>
  <si>
    <t>12/11/2023</t>
  </si>
  <si>
    <t>07/02/2021</t>
  </si>
  <si>
    <t>12/05/2022</t>
  </si>
  <si>
    <t>24/09/2024</t>
  </si>
  <si>
    <t>16/08/2023</t>
  </si>
  <si>
    <t>28/01/2021</t>
  </si>
  <si>
    <t>Age</t>
  </si>
  <si>
    <t>Join_date</t>
  </si>
  <si>
    <t>Devops</t>
  </si>
  <si>
    <t>California</t>
  </si>
  <si>
    <t>Finance</t>
  </si>
  <si>
    <t>Texas</t>
  </si>
  <si>
    <t>Admin</t>
  </si>
  <si>
    <t>Nevada</t>
  </si>
  <si>
    <t>Cloud Tech</t>
  </si>
  <si>
    <t>Florida</t>
  </si>
  <si>
    <t>Sales</t>
  </si>
  <si>
    <t>New York</t>
  </si>
  <si>
    <t>Hr</t>
  </si>
  <si>
    <t>Illinois</t>
  </si>
  <si>
    <t>Department</t>
  </si>
  <si>
    <t>Region</t>
  </si>
  <si>
    <t>Bob.Davis@Example.Com</t>
  </si>
  <si>
    <t>Bob.Brown@Example.Com</t>
  </si>
  <si>
    <t>Alice.Jones@Example.Com</t>
  </si>
  <si>
    <t>Eva.Davis@Example.Com</t>
  </si>
  <si>
    <t>Frank.Williams@Example.Com</t>
  </si>
  <si>
    <t>Alice.Garcia@Example.Com</t>
  </si>
  <si>
    <t>Frank.Jones@Example.Com</t>
  </si>
  <si>
    <t>Bob.Jones@Example.Com</t>
  </si>
  <si>
    <t>Frank.Davis@Example.Com</t>
  </si>
  <si>
    <t>Charlie.Johnson@Example.Com</t>
  </si>
  <si>
    <t>David.Williams@Example.Com</t>
  </si>
  <si>
    <t>David.Davis@Example.Com</t>
  </si>
  <si>
    <t>Heidi.Williams@Example.Com</t>
  </si>
  <si>
    <t>Grace.Williams@Example.Com</t>
  </si>
  <si>
    <t>Grace.Jones@Example.Com</t>
  </si>
  <si>
    <t>Alice.Brown@Example.Com</t>
  </si>
  <si>
    <t>Grace.Garcia@Example.Com</t>
  </si>
  <si>
    <t>Charlie.Garcia@Example.Com</t>
  </si>
  <si>
    <t>Charlie.Williams@Example.Com</t>
  </si>
  <si>
    <t>Bob.Miller@Example.Com</t>
  </si>
  <si>
    <t>David.Garcia@Example.Com</t>
  </si>
  <si>
    <t>David.Miller@Example.Com</t>
  </si>
  <si>
    <t>Frank.Miller@Example.Com</t>
  </si>
  <si>
    <t>Heidi.Johnson@Example.Com</t>
  </si>
  <si>
    <t>Charlie.Jones@Example.Com</t>
  </si>
  <si>
    <t>Bob.Smith@Example.Com</t>
  </si>
  <si>
    <t>Charlie.Brown@Example.Com</t>
  </si>
  <si>
    <t>Grace.Johnson@Example.Com</t>
  </si>
  <si>
    <t>Heidi.Miller@Example.Com</t>
  </si>
  <si>
    <t>Grace.Smith@Example.Com</t>
  </si>
  <si>
    <t>Frank.Smith@Example.Com</t>
  </si>
  <si>
    <t>Eva.Williams@Example.Com</t>
  </si>
  <si>
    <t>Bob.Williams@Example.Com</t>
  </si>
  <si>
    <t>Alice.Johnson@Example.Com</t>
  </si>
  <si>
    <t>Bob.Garcia@Example.Com</t>
  </si>
  <si>
    <t>Eva.Brown@Example.Com</t>
  </si>
  <si>
    <t>Alice.Davis@Example.Com</t>
  </si>
  <si>
    <t>Alice.Miller@Example.Com</t>
  </si>
  <si>
    <t>Grace.Miller@Example.Com</t>
  </si>
  <si>
    <t>Charlie.Davis@Example.Com</t>
  </si>
  <si>
    <t>Frank.Garcia@Example.Com</t>
  </si>
  <si>
    <t>Alice.Smith@Example.Com</t>
  </si>
  <si>
    <t>Charlie.Smith@Example.Com</t>
  </si>
  <si>
    <t>Bob.Johnson@Example.Com</t>
  </si>
  <si>
    <t>Grace.Brown@Example.Com</t>
  </si>
  <si>
    <t>David.Johnson@Example.Com</t>
  </si>
  <si>
    <t>David.Brown@Example.Com</t>
  </si>
  <si>
    <t>Grace.Davis@Example.Com</t>
  </si>
  <si>
    <t>Frank.Brown@Example.Com</t>
  </si>
  <si>
    <t>David.Jones@Example.Com</t>
  </si>
  <si>
    <t>Heidi.Garcia@Example.Com</t>
  </si>
  <si>
    <t>Eva.Miller@Example.Com</t>
  </si>
  <si>
    <t>Frank.Johnson@Example.Com</t>
  </si>
  <si>
    <t>Eva.Jones@Example.Com</t>
  </si>
  <si>
    <t>Eva.Garcia@Example.Com</t>
  </si>
  <si>
    <t>Heidi.Jones@Example.Com</t>
  </si>
  <si>
    <t>Eva.Johnson@Example.Com</t>
  </si>
  <si>
    <t>David.Smith@Example.Com</t>
  </si>
  <si>
    <t>Alice.Williams@Example.Com</t>
  </si>
  <si>
    <t>Heidi.Smith@Example.Com</t>
  </si>
  <si>
    <t>Heidi.Davis@Example.Com</t>
  </si>
  <si>
    <t>Heidi.Brown@Example.Com</t>
  </si>
  <si>
    <t>Charlie.Miller@Example.Com</t>
  </si>
  <si>
    <t>Eva.Smith@Example.Com</t>
  </si>
  <si>
    <t>Performance score</t>
  </si>
  <si>
    <t>Bob Davis</t>
  </si>
  <si>
    <t>Bob Brown</t>
  </si>
  <si>
    <t>Alice Jones</t>
  </si>
  <si>
    <t>Eva Davis</t>
  </si>
  <si>
    <t>Frank Williams</t>
  </si>
  <si>
    <t>Alice Garcia</t>
  </si>
  <si>
    <t>Frank Jones</t>
  </si>
  <si>
    <t>Bob Jones</t>
  </si>
  <si>
    <t>Frank Davis</t>
  </si>
  <si>
    <t>Charlie Johnson</t>
  </si>
  <si>
    <t>David Williams</t>
  </si>
  <si>
    <t>David Davis</t>
  </si>
  <si>
    <t>Heidi Williams</t>
  </si>
  <si>
    <t>Grace Williams</t>
  </si>
  <si>
    <t>Grace Jones</t>
  </si>
  <si>
    <t>Alice Brown</t>
  </si>
  <si>
    <t>Grace Garcia</t>
  </si>
  <si>
    <t>Charlie Garcia</t>
  </si>
  <si>
    <t>Charlie Williams</t>
  </si>
  <si>
    <t>Bob Miller</t>
  </si>
  <si>
    <t>David Garcia</t>
  </si>
  <si>
    <t>David Miller</t>
  </si>
  <si>
    <t>Frank Miller</t>
  </si>
  <si>
    <t>Heidi Johnson</t>
  </si>
  <si>
    <t>Charlie Jones</t>
  </si>
  <si>
    <t>Bob Smith</t>
  </si>
  <si>
    <t>Charlie Brown</t>
  </si>
  <si>
    <t>Grace Johnson</t>
  </si>
  <si>
    <t>Heidi Miller</t>
  </si>
  <si>
    <t>Grace Smith</t>
  </si>
  <si>
    <t>Frank Smith</t>
  </si>
  <si>
    <t>Eva Williams</t>
  </si>
  <si>
    <t>Bob Williams</t>
  </si>
  <si>
    <t>Alice Johnson</t>
  </si>
  <si>
    <t>Bob Garcia</t>
  </si>
  <si>
    <t>Eva Brown</t>
  </si>
  <si>
    <t>Alice Davis</t>
  </si>
  <si>
    <t>Alice Miller</t>
  </si>
  <si>
    <t>Grace Miller</t>
  </si>
  <si>
    <t>Charlie Davis</t>
  </si>
  <si>
    <t>Frank Garcia</t>
  </si>
  <si>
    <t>Alice Smith</t>
  </si>
  <si>
    <t>Charlie Smith</t>
  </si>
  <si>
    <t>Bob Johnson</t>
  </si>
  <si>
    <t>Grace Brown</t>
  </si>
  <si>
    <t>David Johnson</t>
  </si>
  <si>
    <t>David Brown</t>
  </si>
  <si>
    <t>Grace Davis</t>
  </si>
  <si>
    <t>Frank Brown</t>
  </si>
  <si>
    <t>David Jones</t>
  </si>
  <si>
    <t>Heidi Garcia</t>
  </si>
  <si>
    <t>Eva Miller</t>
  </si>
  <si>
    <t>Frank Johnson</t>
  </si>
  <si>
    <t>Eva Jones</t>
  </si>
  <si>
    <t>Eva Garcia</t>
  </si>
  <si>
    <t>Heidi Jones</t>
  </si>
  <si>
    <t>Eva Johnson</t>
  </si>
  <si>
    <t>David Smith</t>
  </si>
  <si>
    <t>Alice Williams</t>
  </si>
  <si>
    <t>Heidi Smith</t>
  </si>
  <si>
    <t>Heidi Davis</t>
  </si>
  <si>
    <t>Heidi Brown</t>
  </si>
  <si>
    <t>Charlie Miller</t>
  </si>
  <si>
    <t>Eva Smith</t>
  </si>
  <si>
    <t>Full Name</t>
  </si>
  <si>
    <t>Years Spent</t>
  </si>
  <si>
    <t>Low</t>
  </si>
  <si>
    <t>Medium</t>
  </si>
  <si>
    <t>High</t>
  </si>
  <si>
    <t>Salary Band</t>
  </si>
  <si>
    <t>True</t>
  </si>
  <si>
    <t>False</t>
  </si>
  <si>
    <t>Count of Employee_ID</t>
  </si>
  <si>
    <t>Grand Total</t>
  </si>
  <si>
    <t>Sum of Salary</t>
  </si>
  <si>
    <t>Performance Score</t>
  </si>
  <si>
    <t>Average Salary</t>
  </si>
  <si>
    <t>Total Salary Spend</t>
  </si>
  <si>
    <t>Total Employees</t>
  </si>
  <si>
    <t>Active Employees</t>
  </si>
  <si>
    <t>Inactive Employees</t>
  </si>
  <si>
    <t>Pending Employees</t>
  </si>
  <si>
    <t>Year</t>
  </si>
  <si>
    <t>Average of Salary</t>
  </si>
  <si>
    <t>Performance Grade</t>
  </si>
  <si>
    <t>Average of Performance Grade</t>
  </si>
  <si>
    <t>Remote</t>
  </si>
  <si>
    <t>Year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</si>
</sst>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14" fontId="0" fillId="0" borderId="0" xfId="0" applyNumberFormat="1" applyAlignment="1">
      <alignment horizontal="right"/>
    </xf>
    <xf numFmtId="0" fontId="2" fillId="0" borderId="0" xfId="1"/>
    <xf numFmtId="1" fontId="0" fillId="0" borderId="0" xfId="0" applyNumberFormat="1"/>
    <xf numFmtId="0" fontId="1" fillId="0" borderId="0" xfId="0" applyFont="1" applyAlignment="1">
      <alignment horizontal="center"/>
    </xf>
    <xf numFmtId="1" fontId="1" fillId="0" borderId="0" xfId="0" applyNumberFormat="1" applyFont="1" applyAlignment="1">
      <alignment horizontal="center"/>
    </xf>
    <xf numFmtId="14" fontId="1" fillId="0" borderId="0" xfId="0" applyNumberFormat="1" applyFont="1" applyAlignment="1">
      <alignment horizontal="center"/>
    </xf>
    <xf numFmtId="1" fontId="0" fillId="0" borderId="0" xfId="0" applyNumberFormat="1" applyAlignment="1">
      <alignment horizontal="right"/>
    </xf>
    <xf numFmtId="0" fontId="0" fillId="0" borderId="0" xfId="0" applyAlignment="1">
      <alignment horizontal="left"/>
    </xf>
    <xf numFmtId="0" fontId="0" fillId="0" borderId="0" xfId="0" applyNumberFormat="1"/>
    <xf numFmtId="0" fontId="0" fillId="0" borderId="0" xfId="0" pivotButton="1"/>
    <xf numFmtId="1" fontId="0" fillId="0" borderId="0" xfId="0" applyNumberFormat="1" applyAlignment="1">
      <alignment horizontal="left"/>
    </xf>
    <xf numFmtId="164" fontId="0" fillId="0" borderId="0" xfId="0" applyNumberFormat="1"/>
    <xf numFmtId="0" fontId="1" fillId="0" borderId="0" xfId="0" applyNumberFormat="1" applyFont="1" applyAlignment="1">
      <alignment horizontal="center"/>
    </xf>
    <xf numFmtId="2" fontId="0" fillId="0" borderId="0" xfId="0" applyNumberFormat="1"/>
  </cellXfs>
  <cellStyles count="2">
    <cellStyle name="Hyperlink" xfId="1" builtinId="8"/>
    <cellStyle name="Normal" xfId="0" builtinId="0"/>
  </cellStyles>
  <dxfs count="27">
    <dxf>
      <numFmt numFmtId="164" formatCode="&quot;₦&quot;#,##0"/>
    </dxf>
    <dxf>
      <numFmt numFmtId="2" formatCode="0.00"/>
    </dxf>
    <dxf>
      <numFmt numFmtId="164" formatCode="&quot;₦&quot;#,##0"/>
    </dxf>
    <dxf>
      <numFmt numFmtId="2" formatCode="0.00"/>
    </dxf>
    <dxf>
      <numFmt numFmtId="2" formatCode="0.00"/>
    </dxf>
    <dxf>
      <numFmt numFmtId="164" formatCode="&quot;₦&quot;#,##0"/>
    </dxf>
    <dxf>
      <numFmt numFmtId="2" formatCode="0.00"/>
    </dxf>
    <dxf>
      <numFmt numFmtId="164" formatCode="&quot;₦&quot;#,##0"/>
    </dxf>
    <dxf>
      <numFmt numFmtId="0" formatCode="General"/>
    </dxf>
    <dxf>
      <numFmt numFmtId="2" formatCode="0.00"/>
    </dxf>
    <dxf>
      <numFmt numFmtId="2" formatCode="0.00"/>
    </dxf>
    <dxf>
      <numFmt numFmtId="164" formatCode="&quot;₦&quot;#,##0"/>
    </dxf>
    <dxf>
      <numFmt numFmtId="164" formatCode="&quot;₦&quot;#,##0"/>
    </dxf>
    <dxf>
      <numFmt numFmtId="164" formatCode="&quot;₦&quot;#,##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 formatCode="0"/>
    </dxf>
    <dxf>
      <numFmt numFmtId="0" formatCode="General"/>
    </dxf>
    <dxf>
      <numFmt numFmtId="1" formatCode="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1" formatCode="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sz val="10"/>
        <color theme="5" tint="-0.24994659260841701"/>
        <name val="Calibri"/>
        <family val="2"/>
        <scheme val="minor"/>
      </font>
      <fill>
        <patternFill patternType="solid">
          <fgColor theme="5" tint="-0.24994659260841701"/>
          <bgColor theme="5" tint="-0.24994659260841701"/>
        </patternFill>
      </fill>
    </dxf>
    <dxf>
      <font>
        <b/>
        <i val="0"/>
        <sz val="10"/>
        <color theme="5" tint="-0.24994659260841701"/>
      </font>
      <fill>
        <patternFill>
          <bgColor theme="5" tint="-0.24994659260841701"/>
        </patternFill>
      </fill>
      <border diagonalUp="1">
        <diagonal style="thin">
          <color auto="1"/>
        </diagonal>
      </border>
    </dxf>
    <dxf>
      <font>
        <b/>
        <i val="0"/>
        <sz val="11"/>
      </font>
    </dxf>
    <dxf>
      <font>
        <b/>
        <i val="0"/>
        <strike val="0"/>
        <sz val="10"/>
        <color theme="5" tint="-0.24994659260841701"/>
      </font>
      <fill>
        <patternFill>
          <bgColor theme="1" tint="0.14996795556505021"/>
        </patternFill>
      </fill>
    </dxf>
  </dxfs>
  <tableStyles count="3" defaultTableStyle="TableStyleMedium2" defaultPivotStyle="PivotStyleLight16">
    <tableStyle name="Slicer Style 1" pivot="0" table="0" count="2" xr9:uid="{D360C61A-6ACE-4949-ACB4-7A2D1028BAC7}">
      <tableStyleElement type="wholeTable" dxfId="26"/>
      <tableStyleElement type="headerRow" dxfId="25"/>
    </tableStyle>
    <tableStyle name="Slicer Style 2" pivot="0" table="0" count="1" xr9:uid="{9A426803-7C62-43E1-85B4-58597AB12F7B}">
      <tableStyleElement type="wholeTable" dxfId="24"/>
    </tableStyle>
    <tableStyle name="Slicer Style 3" pivot="0" table="0" count="1" xr9:uid="{8F9D9760-D4C3-42C3-A030-A6D64DF13B33}">
      <tableStyleElement type="wholeTable" dxfId="23"/>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c:f>
              <c:strCache>
                <c:ptCount val="1"/>
                <c:pt idx="0">
                  <c:v>Total</c:v>
                </c:pt>
              </c:strCache>
            </c:strRef>
          </c:tx>
          <c:spPr>
            <a:ln w="28575" cap="rnd">
              <a:solidFill>
                <a:schemeClr val="accent1"/>
              </a:solidFill>
              <a:round/>
            </a:ln>
            <a:effectLst/>
          </c:spPr>
          <c:marker>
            <c:symbol val="none"/>
          </c:marker>
          <c:cat>
            <c:strRef>
              <c:f>'PIVOT TABLE'!$A$51:$A$56</c:f>
              <c:strCache>
                <c:ptCount val="5"/>
                <c:pt idx="0">
                  <c:v>2020</c:v>
                </c:pt>
                <c:pt idx="1">
                  <c:v>2021</c:v>
                </c:pt>
                <c:pt idx="2">
                  <c:v>2022</c:v>
                </c:pt>
                <c:pt idx="3">
                  <c:v>2023</c:v>
                </c:pt>
                <c:pt idx="4">
                  <c:v>2024</c:v>
                </c:pt>
              </c:strCache>
            </c:strRef>
          </c:cat>
          <c:val>
            <c:numRef>
              <c:f>'PIVOT TABLE'!$B$51:$B$56</c:f>
              <c:numCache>
                <c:formatCode>"₦"#,##0</c:formatCode>
                <c:ptCount val="5"/>
                <c:pt idx="0">
                  <c:v>85280.788128078842</c:v>
                </c:pt>
                <c:pt idx="1">
                  <c:v>84222.393492063522</c:v>
                </c:pt>
                <c:pt idx="2">
                  <c:v>83424.484590163949</c:v>
                </c:pt>
                <c:pt idx="3">
                  <c:v>78863.807807017511</c:v>
                </c:pt>
                <c:pt idx="4">
                  <c:v>84501.267050691269</c:v>
                </c:pt>
              </c:numCache>
            </c:numRef>
          </c:val>
          <c:smooth val="0"/>
          <c:extLst>
            <c:ext xmlns:c16="http://schemas.microsoft.com/office/drawing/2014/chart" uri="{C3380CC4-5D6E-409C-BE32-E72D297353CC}">
              <c16:uniqueId val="{00000000-1BEE-48B9-BD03-B0E8F76B95E7}"/>
            </c:ext>
          </c:extLst>
        </c:ser>
        <c:dLbls>
          <c:showLegendKey val="0"/>
          <c:showVal val="0"/>
          <c:showCatName val="0"/>
          <c:showSerName val="0"/>
          <c:showPercent val="0"/>
          <c:showBubbleSize val="0"/>
        </c:dLbls>
        <c:smooth val="0"/>
        <c:axId val="328108559"/>
        <c:axId val="328108975"/>
      </c:lineChart>
      <c:catAx>
        <c:axId val="32810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8108975"/>
        <c:crosses val="autoZero"/>
        <c:auto val="1"/>
        <c:lblAlgn val="ctr"/>
        <c:lblOffset val="100"/>
        <c:noMultiLvlLbl val="0"/>
      </c:catAx>
      <c:valAx>
        <c:axId val="328108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81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b="1"/>
              <a:t>AVG</a:t>
            </a:r>
            <a:r>
              <a:rPr lang="en-GB" sz="1000" b="1" baseline="0"/>
              <a:t> PERFORMANCE GRADE BY STATUS</a:t>
            </a:r>
            <a:endParaRPr lang="en-GB"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doughnutChart>
        <c:varyColors val="1"/>
        <c:ser>
          <c:idx val="0"/>
          <c:order val="0"/>
          <c:tx>
            <c:strRef>
              <c:f>'PIVOT TABLE'!$F$22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57-4F52-B477-FCB678B8EC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57-4F52-B477-FCB678B8EC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57-4F52-B477-FCB678B8ECB8}"/>
              </c:ext>
            </c:extLst>
          </c:dPt>
          <c:cat>
            <c:strRef>
              <c:f>'PIVOT TABLE'!$E$23:$E$26</c:f>
              <c:strCache>
                <c:ptCount val="3"/>
                <c:pt idx="0">
                  <c:v>Active</c:v>
                </c:pt>
                <c:pt idx="1">
                  <c:v>Inactive</c:v>
                </c:pt>
                <c:pt idx="2">
                  <c:v>Pending</c:v>
                </c:pt>
              </c:strCache>
            </c:strRef>
          </c:cat>
          <c:val>
            <c:numRef>
              <c:f>'PIVOT TABLE'!$F$23:$F$26</c:f>
              <c:numCache>
                <c:formatCode>0.00</c:formatCode>
                <c:ptCount val="3"/>
                <c:pt idx="0">
                  <c:v>2.6392045454545454</c:v>
                </c:pt>
                <c:pt idx="1">
                  <c:v>2.5256410256410255</c:v>
                </c:pt>
                <c:pt idx="2">
                  <c:v>2.558988764044944</c:v>
                </c:pt>
              </c:numCache>
            </c:numRef>
          </c:val>
          <c:extLst>
            <c:ext xmlns:c16="http://schemas.microsoft.com/office/drawing/2014/chart" uri="{C3380CC4-5D6E-409C-BE32-E72D297353CC}">
              <c16:uniqueId val="{00000000-84D7-43E5-9238-E08E67359D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DEPARTMENT</a:t>
            </a:r>
            <a:r>
              <a:rPr lang="en-US" sz="1100" b="1" baseline="0"/>
              <a:t> PERFORMANCE GRADE</a:t>
            </a:r>
            <a:endParaRPr lang="en-US" sz="1100" b="1"/>
          </a:p>
        </c:rich>
      </c:tx>
      <c:layout>
        <c:manualLayout>
          <c:xMode val="edge"/>
          <c:yMode val="edge"/>
          <c:x val="0.14866999077873991"/>
          <c:y val="7.5011801523589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TABLE'!$A$62:$A$68</c:f>
              <c:strCache>
                <c:ptCount val="6"/>
                <c:pt idx="0">
                  <c:v>Sales</c:v>
                </c:pt>
                <c:pt idx="1">
                  <c:v>Admin</c:v>
                </c:pt>
                <c:pt idx="2">
                  <c:v>Hr</c:v>
                </c:pt>
                <c:pt idx="3">
                  <c:v>Cloud Tech</c:v>
                </c:pt>
                <c:pt idx="4">
                  <c:v>Devops</c:v>
                </c:pt>
                <c:pt idx="5">
                  <c:v>Finance</c:v>
                </c:pt>
              </c:strCache>
            </c:strRef>
          </c:cat>
          <c:val>
            <c:numRef>
              <c:f>'PIVOT TABLE'!$B$62:$B$68</c:f>
              <c:numCache>
                <c:formatCode>0.00</c:formatCode>
                <c:ptCount val="6"/>
                <c:pt idx="0">
                  <c:v>2.6573033707865168</c:v>
                </c:pt>
                <c:pt idx="1">
                  <c:v>2.6265060240963853</c:v>
                </c:pt>
                <c:pt idx="2">
                  <c:v>2.5906432748538011</c:v>
                </c:pt>
                <c:pt idx="3">
                  <c:v>2.5616438356164384</c:v>
                </c:pt>
                <c:pt idx="4">
                  <c:v>2.5343915343915344</c:v>
                </c:pt>
                <c:pt idx="5">
                  <c:v>2.4882352941176471</c:v>
                </c:pt>
              </c:numCache>
            </c:numRef>
          </c:val>
          <c:extLst>
            <c:ext xmlns:c16="http://schemas.microsoft.com/office/drawing/2014/chart" uri="{C3380CC4-5D6E-409C-BE32-E72D297353CC}">
              <c16:uniqueId val="{00000000-B7B0-4C92-964F-A9DAF2818A1D}"/>
            </c:ext>
          </c:extLst>
        </c:ser>
        <c:dLbls>
          <c:dLblPos val="outEnd"/>
          <c:showLegendKey val="0"/>
          <c:showVal val="1"/>
          <c:showCatName val="0"/>
          <c:showSerName val="0"/>
          <c:showPercent val="0"/>
          <c:showBubbleSize val="0"/>
        </c:dLbls>
        <c:gapWidth val="219"/>
        <c:overlap val="-27"/>
        <c:axId val="1866357327"/>
        <c:axId val="1866377295"/>
      </c:barChart>
      <c:catAx>
        <c:axId val="186635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66377295"/>
        <c:crosses val="autoZero"/>
        <c:auto val="1"/>
        <c:lblAlgn val="ctr"/>
        <c:lblOffset val="100"/>
        <c:noMultiLvlLbl val="0"/>
      </c:catAx>
      <c:valAx>
        <c:axId val="186637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6635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TABLE!PivotTable11</c:name>
    <c:fmtId val="1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PERFORMANCE</a:t>
            </a:r>
            <a:r>
              <a:rPr lang="en-GB" baseline="0"/>
              <a:t> GRADE BY AGE</a:t>
            </a:r>
            <a:endParaRPr lang="en-GB"/>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NG"/>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TABLE'!$E$13:$E$17</c:f>
              <c:strCache>
                <c:ptCount val="4"/>
                <c:pt idx="0">
                  <c:v>30</c:v>
                </c:pt>
                <c:pt idx="1">
                  <c:v>25</c:v>
                </c:pt>
                <c:pt idx="2">
                  <c:v>40</c:v>
                </c:pt>
                <c:pt idx="3">
                  <c:v>35</c:v>
                </c:pt>
              </c:strCache>
            </c:strRef>
          </c:cat>
          <c:val>
            <c:numRef>
              <c:f>'PIVOT TABLE'!$F$13:$F$17</c:f>
              <c:numCache>
                <c:formatCode>0.00</c:formatCode>
                <c:ptCount val="4"/>
                <c:pt idx="0">
                  <c:v>2.6201923076923075</c:v>
                </c:pt>
                <c:pt idx="1">
                  <c:v>2.5679611650485437</c:v>
                </c:pt>
                <c:pt idx="2">
                  <c:v>2.538095238095238</c:v>
                </c:pt>
                <c:pt idx="3">
                  <c:v>2.5319148936170213</c:v>
                </c:pt>
              </c:numCache>
            </c:numRef>
          </c:val>
          <c:extLst>
            <c:ext xmlns:c16="http://schemas.microsoft.com/office/drawing/2014/chart" uri="{C3380CC4-5D6E-409C-BE32-E72D297353CC}">
              <c16:uniqueId val="{00000000-F93A-4B10-9460-AA9EBA1D672D}"/>
            </c:ext>
          </c:extLst>
        </c:ser>
        <c:dLbls>
          <c:dLblPos val="outEnd"/>
          <c:showLegendKey val="0"/>
          <c:showVal val="1"/>
          <c:showCatName val="0"/>
          <c:showSerName val="0"/>
          <c:showPercent val="0"/>
          <c:showBubbleSize val="0"/>
        </c:dLbls>
        <c:gapWidth val="100"/>
        <c:axId val="1866366479"/>
        <c:axId val="1866374383"/>
      </c:barChart>
      <c:catAx>
        <c:axId val="186636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866374383"/>
        <c:crosses val="autoZero"/>
        <c:auto val="1"/>
        <c:lblAlgn val="ctr"/>
        <c:lblOffset val="100"/>
        <c:noMultiLvlLbl val="0"/>
      </c:catAx>
      <c:valAx>
        <c:axId val="18663743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186636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TABLE'!$A$22:$A$28</c:f>
              <c:strCache>
                <c:ptCount val="6"/>
                <c:pt idx="0">
                  <c:v>Devops</c:v>
                </c:pt>
                <c:pt idx="1">
                  <c:v>Sales</c:v>
                </c:pt>
                <c:pt idx="2">
                  <c:v>Hr</c:v>
                </c:pt>
                <c:pt idx="3">
                  <c:v>Finance</c:v>
                </c:pt>
                <c:pt idx="4">
                  <c:v>Admin</c:v>
                </c:pt>
                <c:pt idx="5">
                  <c:v>Cloud Tech</c:v>
                </c:pt>
              </c:strCache>
            </c:strRef>
          </c:cat>
          <c:val>
            <c:numRef>
              <c:f>'PIVOT TABLE'!$B$22:$B$28</c:f>
              <c:numCache>
                <c:formatCode>"₦"#,##0</c:formatCode>
                <c:ptCount val="6"/>
                <c:pt idx="0">
                  <c:v>15826948.350000009</c:v>
                </c:pt>
                <c:pt idx="1">
                  <c:v>15206919.180000003</c:v>
                </c:pt>
                <c:pt idx="2">
                  <c:v>14274098.409999998</c:v>
                </c:pt>
                <c:pt idx="3">
                  <c:v>13816422.550000004</c:v>
                </c:pt>
                <c:pt idx="4">
                  <c:v>13715899.570000006</c:v>
                </c:pt>
                <c:pt idx="5">
                  <c:v>11974148.110000007</c:v>
                </c:pt>
              </c:numCache>
            </c:numRef>
          </c:val>
          <c:extLst>
            <c:ext xmlns:c16="http://schemas.microsoft.com/office/drawing/2014/chart" uri="{C3380CC4-5D6E-409C-BE32-E72D297353CC}">
              <c16:uniqueId val="{00000000-9C92-4936-9FD8-18CD5B8E190C}"/>
            </c:ext>
          </c:extLst>
        </c:ser>
        <c:dLbls>
          <c:showLegendKey val="0"/>
          <c:showVal val="0"/>
          <c:showCatName val="0"/>
          <c:showSerName val="0"/>
          <c:showPercent val="0"/>
          <c:showBubbleSize val="0"/>
        </c:dLbls>
        <c:gapWidth val="219"/>
        <c:overlap val="-27"/>
        <c:axId val="1866383119"/>
        <c:axId val="1866382703"/>
      </c:barChart>
      <c:catAx>
        <c:axId val="186638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66382703"/>
        <c:crosses val="autoZero"/>
        <c:auto val="1"/>
        <c:lblAlgn val="ctr"/>
        <c:lblOffset val="100"/>
        <c:noMultiLvlLbl val="0"/>
      </c:catAx>
      <c:valAx>
        <c:axId val="1866382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6638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TABLE!PivotTable14</c:name>
    <c:fmtId val="3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AA-4AEF-B7AD-68589143BB9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AA-4AEF-B7AD-68589143BB9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AA-4AEF-B7AD-68589143BB9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DAA-4AEF-B7AD-68589143BB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TABLE'!$A$33:$A$37</c:f>
              <c:strCache>
                <c:ptCount val="4"/>
                <c:pt idx="0">
                  <c:v>Good</c:v>
                </c:pt>
                <c:pt idx="1">
                  <c:v>Average</c:v>
                </c:pt>
                <c:pt idx="2">
                  <c:v>Excellent</c:v>
                </c:pt>
                <c:pt idx="3">
                  <c:v>Poor</c:v>
                </c:pt>
              </c:strCache>
            </c:strRef>
          </c:cat>
          <c:val>
            <c:numRef>
              <c:f>'PIVOT TABLE'!$B$33:$B$37</c:f>
              <c:numCache>
                <c:formatCode>General</c:formatCode>
                <c:ptCount val="4"/>
                <c:pt idx="0">
                  <c:v>270</c:v>
                </c:pt>
                <c:pt idx="1">
                  <c:v>267</c:v>
                </c:pt>
                <c:pt idx="2">
                  <c:v>267</c:v>
                </c:pt>
                <c:pt idx="3">
                  <c:v>216</c:v>
                </c:pt>
              </c:numCache>
            </c:numRef>
          </c:val>
          <c:extLst>
            <c:ext xmlns:c16="http://schemas.microsoft.com/office/drawing/2014/chart" uri="{C3380CC4-5D6E-409C-BE32-E72D297353CC}">
              <c16:uniqueId val="{00000000-FE57-4AA8-8A38-6D34EA588A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TABLE!PivotTable2</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AVERAGE SALARY</a:t>
            </a:r>
            <a:r>
              <a:rPr lang="en-US" sz="1200" baseline="0"/>
              <a:t> TRENDS BY YEAR</a:t>
            </a:r>
            <a:endParaRPr lang="en-US" sz="1200"/>
          </a:p>
        </c:rich>
      </c:tx>
      <c:layout>
        <c:manualLayout>
          <c:xMode val="edge"/>
          <c:yMode val="edge"/>
          <c:x val="0.28913847478323507"/>
          <c:y val="5.014084840684363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2">
                <a:lumMod val="75000"/>
              </a:schemeClr>
            </a:solidFill>
            <a:ln>
              <a:noFill/>
            </a:ln>
            <a:effectLst/>
          </c:spPr>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2">
                  <a:lumMod val="75000"/>
                </a:schemeClr>
              </a:solidFill>
              <a:ln>
                <a:noFill/>
              </a:ln>
              <a:effectLst/>
            </c:spPr>
          </c:marker>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TABLE'!$A$51:$A$56</c:f>
              <c:strCache>
                <c:ptCount val="5"/>
                <c:pt idx="0">
                  <c:v>2020</c:v>
                </c:pt>
                <c:pt idx="1">
                  <c:v>2021</c:v>
                </c:pt>
                <c:pt idx="2">
                  <c:v>2022</c:v>
                </c:pt>
                <c:pt idx="3">
                  <c:v>2023</c:v>
                </c:pt>
                <c:pt idx="4">
                  <c:v>2024</c:v>
                </c:pt>
              </c:strCache>
            </c:strRef>
          </c:cat>
          <c:val>
            <c:numRef>
              <c:f>'PIVOT TABLE'!$B$51:$B$56</c:f>
              <c:numCache>
                <c:formatCode>"₦"#,##0</c:formatCode>
                <c:ptCount val="5"/>
                <c:pt idx="0">
                  <c:v>85280.788128078842</c:v>
                </c:pt>
                <c:pt idx="1">
                  <c:v>84222.393492063522</c:v>
                </c:pt>
                <c:pt idx="2">
                  <c:v>83424.484590163949</c:v>
                </c:pt>
                <c:pt idx="3">
                  <c:v>78863.807807017511</c:v>
                </c:pt>
                <c:pt idx="4">
                  <c:v>84501.267050691269</c:v>
                </c:pt>
              </c:numCache>
            </c:numRef>
          </c:val>
          <c:smooth val="0"/>
          <c:extLst>
            <c:ext xmlns:c16="http://schemas.microsoft.com/office/drawing/2014/chart" uri="{C3380CC4-5D6E-409C-BE32-E72D297353CC}">
              <c16:uniqueId val="{00000000-EBA2-482A-92F1-D2FDA6CE93F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28108559"/>
        <c:axId val="328108975"/>
      </c:lineChart>
      <c:catAx>
        <c:axId val="32810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NG"/>
          </a:p>
        </c:txPr>
        <c:crossAx val="328108975"/>
        <c:crosses val="autoZero"/>
        <c:auto val="1"/>
        <c:lblAlgn val="ctr"/>
        <c:lblOffset val="100"/>
        <c:noMultiLvlLbl val="0"/>
      </c:catAx>
      <c:valAx>
        <c:axId val="328108975"/>
        <c:scaling>
          <c:orientation val="minMax"/>
        </c:scaling>
        <c:delete val="1"/>
        <c:axPos val="l"/>
        <c:numFmt formatCode="&quot;₦&quot;#,##0" sourceLinked="1"/>
        <c:majorTickMark val="none"/>
        <c:minorTickMark val="none"/>
        <c:tickLblPos val="nextTo"/>
        <c:crossAx val="3281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TABLE!PivotTable3</c:name>
    <c:fmtId val="10"/>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GB" sz="1050"/>
              <a:t> </a:t>
            </a:r>
            <a:r>
              <a:rPr lang="en-GB" sz="1100"/>
              <a:t>PERFORMANCE GRADE BY STATUS</a:t>
            </a:r>
          </a:p>
        </c:rich>
      </c:tx>
      <c:layout>
        <c:manualLayout>
          <c:xMode val="edge"/>
          <c:yMode val="edge"/>
          <c:x val="3.5973244641582476E-2"/>
          <c:y val="5.13333794794815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TABLE'!$F$22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A99-437E-91E3-9AF7442138C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A99-437E-91E3-9AF7442138C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A99-437E-91E3-9AF7442138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TABLE'!$E$23:$E$26</c:f>
              <c:strCache>
                <c:ptCount val="3"/>
                <c:pt idx="0">
                  <c:v>Active</c:v>
                </c:pt>
                <c:pt idx="1">
                  <c:v>Inactive</c:v>
                </c:pt>
                <c:pt idx="2">
                  <c:v>Pending</c:v>
                </c:pt>
              </c:strCache>
            </c:strRef>
          </c:cat>
          <c:val>
            <c:numRef>
              <c:f>'PIVOT TABLE'!$F$23:$F$26</c:f>
              <c:numCache>
                <c:formatCode>0.00</c:formatCode>
                <c:ptCount val="3"/>
                <c:pt idx="0">
                  <c:v>2.6392045454545454</c:v>
                </c:pt>
                <c:pt idx="1">
                  <c:v>2.5256410256410255</c:v>
                </c:pt>
                <c:pt idx="2">
                  <c:v>2.558988764044944</c:v>
                </c:pt>
              </c:numCache>
            </c:numRef>
          </c:val>
          <c:extLst>
            <c:ext xmlns:c16="http://schemas.microsoft.com/office/drawing/2014/chart" uri="{C3380CC4-5D6E-409C-BE32-E72D297353CC}">
              <c16:uniqueId val="{00000006-7A99-437E-91E3-9AF7442138C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114456333188717"/>
          <c:y val="0.41418778889086993"/>
          <c:w val="0.17832108495779356"/>
          <c:h val="0.30815441510562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TABLE!PivotTable4</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t>DEPARTMENT PERFORMANCE GRADE</a:t>
            </a:r>
          </a:p>
        </c:rich>
      </c:tx>
      <c:layout>
        <c:manualLayout>
          <c:xMode val="edge"/>
          <c:yMode val="edge"/>
          <c:x val="0.11862113920396739"/>
          <c:y val="4.40745298765533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TABLE'!$A$62:$A$68</c:f>
              <c:strCache>
                <c:ptCount val="6"/>
                <c:pt idx="0">
                  <c:v>Sales</c:v>
                </c:pt>
                <c:pt idx="1">
                  <c:v>Admin</c:v>
                </c:pt>
                <c:pt idx="2">
                  <c:v>Hr</c:v>
                </c:pt>
                <c:pt idx="3">
                  <c:v>Cloud Tech</c:v>
                </c:pt>
                <c:pt idx="4">
                  <c:v>Devops</c:v>
                </c:pt>
                <c:pt idx="5">
                  <c:v>Finance</c:v>
                </c:pt>
              </c:strCache>
            </c:strRef>
          </c:cat>
          <c:val>
            <c:numRef>
              <c:f>'PIVOT TABLE'!$B$62:$B$68</c:f>
              <c:numCache>
                <c:formatCode>0.00</c:formatCode>
                <c:ptCount val="6"/>
                <c:pt idx="0">
                  <c:v>2.6573033707865168</c:v>
                </c:pt>
                <c:pt idx="1">
                  <c:v>2.6265060240963853</c:v>
                </c:pt>
                <c:pt idx="2">
                  <c:v>2.5906432748538011</c:v>
                </c:pt>
                <c:pt idx="3">
                  <c:v>2.5616438356164384</c:v>
                </c:pt>
                <c:pt idx="4">
                  <c:v>2.5343915343915344</c:v>
                </c:pt>
                <c:pt idx="5">
                  <c:v>2.4882352941176471</c:v>
                </c:pt>
              </c:numCache>
            </c:numRef>
          </c:val>
          <c:extLst>
            <c:ext xmlns:c16="http://schemas.microsoft.com/office/drawing/2014/chart" uri="{C3380CC4-5D6E-409C-BE32-E72D297353CC}">
              <c16:uniqueId val="{00000000-9A65-4EB4-BE04-5AA893AAA342}"/>
            </c:ext>
          </c:extLst>
        </c:ser>
        <c:dLbls>
          <c:dLblPos val="outEnd"/>
          <c:showLegendKey val="0"/>
          <c:showVal val="1"/>
          <c:showCatName val="0"/>
          <c:showSerName val="0"/>
          <c:showPercent val="0"/>
          <c:showBubbleSize val="0"/>
        </c:dLbls>
        <c:gapWidth val="219"/>
        <c:overlap val="-27"/>
        <c:axId val="1866357327"/>
        <c:axId val="1866377295"/>
      </c:barChart>
      <c:catAx>
        <c:axId val="186635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66377295"/>
        <c:crosses val="autoZero"/>
        <c:auto val="1"/>
        <c:lblAlgn val="ctr"/>
        <c:lblOffset val="100"/>
        <c:noMultiLvlLbl val="0"/>
      </c:catAx>
      <c:valAx>
        <c:axId val="186637729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6635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TABLE!PivotTable11</c:name>
    <c:fmtId val="18"/>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GB" sz="1100" b="1"/>
              <a:t>PERFORMANCE GRADE BY AGE</a:t>
            </a:r>
          </a:p>
        </c:rich>
      </c:tx>
      <c:layout>
        <c:manualLayout>
          <c:xMode val="edge"/>
          <c:yMode val="edge"/>
          <c:x val="0.20545981801590071"/>
          <c:y val="6.555967979616662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NG"/>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w="9525" cap="flat" cmpd="sng" algn="ctr">
            <a:no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TABLE'!$F$12</c:f>
              <c:strCache>
                <c:ptCount val="1"/>
                <c:pt idx="0">
                  <c:v>Total</c:v>
                </c:pt>
              </c:strCache>
            </c:strRef>
          </c:tx>
          <c:spPr>
            <a:solidFill>
              <a:schemeClr val="accent2">
                <a:lumMod val="75000"/>
              </a:schemeClr>
            </a:solidFill>
            <a:ln w="9525" cap="flat" cmpd="sng" algn="ctr">
              <a:no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TABLE'!$E$13:$E$17</c:f>
              <c:strCache>
                <c:ptCount val="4"/>
                <c:pt idx="0">
                  <c:v>30</c:v>
                </c:pt>
                <c:pt idx="1">
                  <c:v>25</c:v>
                </c:pt>
                <c:pt idx="2">
                  <c:v>40</c:v>
                </c:pt>
                <c:pt idx="3">
                  <c:v>35</c:v>
                </c:pt>
              </c:strCache>
            </c:strRef>
          </c:cat>
          <c:val>
            <c:numRef>
              <c:f>'PIVOT TABLE'!$F$13:$F$17</c:f>
              <c:numCache>
                <c:formatCode>0.00</c:formatCode>
                <c:ptCount val="4"/>
                <c:pt idx="0">
                  <c:v>2.6201923076923075</c:v>
                </c:pt>
                <c:pt idx="1">
                  <c:v>2.5679611650485437</c:v>
                </c:pt>
                <c:pt idx="2">
                  <c:v>2.538095238095238</c:v>
                </c:pt>
                <c:pt idx="3">
                  <c:v>2.5319148936170213</c:v>
                </c:pt>
              </c:numCache>
            </c:numRef>
          </c:val>
          <c:extLst>
            <c:ext xmlns:c16="http://schemas.microsoft.com/office/drawing/2014/chart" uri="{C3380CC4-5D6E-409C-BE32-E72D297353CC}">
              <c16:uniqueId val="{00000000-FF41-4E69-9BAC-F46DD8AE7FA7}"/>
            </c:ext>
          </c:extLst>
        </c:ser>
        <c:dLbls>
          <c:dLblPos val="outEnd"/>
          <c:showLegendKey val="0"/>
          <c:showVal val="1"/>
          <c:showCatName val="0"/>
          <c:showSerName val="0"/>
          <c:showPercent val="0"/>
          <c:showBubbleSize val="0"/>
        </c:dLbls>
        <c:gapWidth val="100"/>
        <c:axId val="1866366479"/>
        <c:axId val="1866374383"/>
      </c:barChart>
      <c:catAx>
        <c:axId val="186636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66374383"/>
        <c:crosses val="autoZero"/>
        <c:auto val="1"/>
        <c:lblAlgn val="ctr"/>
        <c:lblOffset val="100"/>
        <c:noMultiLvlLbl val="0"/>
      </c:catAx>
      <c:valAx>
        <c:axId val="1866374383"/>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66366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t>SALARY BY DEPARTMENT</a:t>
            </a:r>
          </a:p>
        </c:rich>
      </c:tx>
      <c:layout>
        <c:manualLayout>
          <c:xMode val="edge"/>
          <c:yMode val="edge"/>
          <c:x val="0.26916798092225008"/>
          <c:y val="5.5836338464935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2">
                <a:lumMod val="75000"/>
              </a:schemeClr>
            </a:solidFill>
            <a:ln>
              <a:noFill/>
            </a:ln>
            <a:effectLst/>
          </c:spPr>
          <c:invertIfNegative val="0"/>
          <c:cat>
            <c:strRef>
              <c:f>'PIVOT TABLE'!$A$22:$A$28</c:f>
              <c:strCache>
                <c:ptCount val="6"/>
                <c:pt idx="0">
                  <c:v>Devops</c:v>
                </c:pt>
                <c:pt idx="1">
                  <c:v>Sales</c:v>
                </c:pt>
                <c:pt idx="2">
                  <c:v>Hr</c:v>
                </c:pt>
                <c:pt idx="3">
                  <c:v>Finance</c:v>
                </c:pt>
                <c:pt idx="4">
                  <c:v>Admin</c:v>
                </c:pt>
                <c:pt idx="5">
                  <c:v>Cloud Tech</c:v>
                </c:pt>
              </c:strCache>
            </c:strRef>
          </c:cat>
          <c:val>
            <c:numRef>
              <c:f>'PIVOT TABLE'!$B$22:$B$28</c:f>
              <c:numCache>
                <c:formatCode>"₦"#,##0</c:formatCode>
                <c:ptCount val="6"/>
                <c:pt idx="0">
                  <c:v>15826948.350000009</c:v>
                </c:pt>
                <c:pt idx="1">
                  <c:v>15206919.180000003</c:v>
                </c:pt>
                <c:pt idx="2">
                  <c:v>14274098.409999998</c:v>
                </c:pt>
                <c:pt idx="3">
                  <c:v>13816422.550000004</c:v>
                </c:pt>
                <c:pt idx="4">
                  <c:v>13715899.570000006</c:v>
                </c:pt>
                <c:pt idx="5">
                  <c:v>11974148.110000007</c:v>
                </c:pt>
              </c:numCache>
            </c:numRef>
          </c:val>
          <c:extLst>
            <c:ext xmlns:c16="http://schemas.microsoft.com/office/drawing/2014/chart" uri="{C3380CC4-5D6E-409C-BE32-E72D297353CC}">
              <c16:uniqueId val="{00000000-3A05-4E18-A11E-A6E39C8C2899}"/>
            </c:ext>
          </c:extLst>
        </c:ser>
        <c:dLbls>
          <c:showLegendKey val="0"/>
          <c:showVal val="0"/>
          <c:showCatName val="0"/>
          <c:showSerName val="0"/>
          <c:showPercent val="0"/>
          <c:showBubbleSize val="0"/>
        </c:dLbls>
        <c:gapWidth val="219"/>
        <c:overlap val="-27"/>
        <c:axId val="1866383119"/>
        <c:axId val="1866382703"/>
      </c:barChart>
      <c:catAx>
        <c:axId val="186638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66382703"/>
        <c:crosses val="autoZero"/>
        <c:auto val="1"/>
        <c:lblAlgn val="ctr"/>
        <c:lblOffset val="100"/>
        <c:noMultiLvlLbl val="0"/>
      </c:catAx>
      <c:valAx>
        <c:axId val="1866382703"/>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86638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Analysis.xlsx]PIVOT TABLE!PivotTable14</c:name>
    <c:fmtId val="3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100" b="1"/>
              <a:t>EMPLOYEE</a:t>
            </a:r>
            <a:r>
              <a:rPr lang="en-US" sz="1100" b="1" baseline="0"/>
              <a:t> PERFORMANCE SCORE</a:t>
            </a:r>
            <a:endParaRPr lang="en-US" sz="1100" b="1"/>
          </a:p>
        </c:rich>
      </c:tx>
      <c:layout>
        <c:manualLayout>
          <c:xMode val="edge"/>
          <c:yMode val="edge"/>
          <c:x val="3.2047374195179369E-2"/>
          <c:y val="6.67707308661110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94F-4F72-9C86-370A434516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94F-4F72-9C86-370A4345162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94F-4F72-9C86-370A4345162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94F-4F72-9C86-370A434516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TABLE'!$A$33:$A$37</c:f>
              <c:strCache>
                <c:ptCount val="4"/>
                <c:pt idx="0">
                  <c:v>Good</c:v>
                </c:pt>
                <c:pt idx="1">
                  <c:v>Average</c:v>
                </c:pt>
                <c:pt idx="2">
                  <c:v>Excellent</c:v>
                </c:pt>
                <c:pt idx="3">
                  <c:v>Poor</c:v>
                </c:pt>
              </c:strCache>
            </c:strRef>
          </c:cat>
          <c:val>
            <c:numRef>
              <c:f>'PIVOT TABLE'!$B$33:$B$37</c:f>
              <c:numCache>
                <c:formatCode>General</c:formatCode>
                <c:ptCount val="4"/>
                <c:pt idx="0">
                  <c:v>270</c:v>
                </c:pt>
                <c:pt idx="1">
                  <c:v>267</c:v>
                </c:pt>
                <c:pt idx="2">
                  <c:v>267</c:v>
                </c:pt>
                <c:pt idx="3">
                  <c:v>216</c:v>
                </c:pt>
              </c:numCache>
            </c:numRef>
          </c:val>
          <c:extLst>
            <c:ext xmlns:c16="http://schemas.microsoft.com/office/drawing/2014/chart" uri="{C3380CC4-5D6E-409C-BE32-E72D297353CC}">
              <c16:uniqueId val="{00000008-A94F-4F72-9C86-370A434516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721828102528376"/>
          <c:y val="0.35457448257218988"/>
          <c:w val="0.18749493490674785"/>
          <c:h val="0.435596675616513"/>
        </c:manualLayout>
      </c:layout>
      <c:overlay val="0"/>
      <c:spPr>
        <a:solidFill>
          <a:schemeClr val="tx1">
            <a:lumMod val="85000"/>
            <a:lumOff val="1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19"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18</xdr:col>
      <xdr:colOff>449128</xdr:colOff>
      <xdr:row>14</xdr:row>
      <xdr:rowOff>123921</xdr:rowOff>
    </xdr:from>
    <xdr:to>
      <xdr:col>21</xdr:col>
      <xdr:colOff>455266</xdr:colOff>
      <xdr:row>28</xdr:row>
      <xdr:rowOff>27834</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BEA0AA5E-310B-1FF8-FD6E-EB14B0F575E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341373" y="2663921"/>
              <a:ext cx="1833383" cy="244391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355600</xdr:colOff>
      <xdr:row>0</xdr:row>
      <xdr:rowOff>0</xdr:rowOff>
    </xdr:from>
    <xdr:to>
      <xdr:col>21</xdr:col>
      <xdr:colOff>361232</xdr:colOff>
      <xdr:row>13</xdr:row>
      <xdr:rowOff>91073</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2F8FAEE2-CD30-628F-47EB-B9EA99D64B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47845" y="0"/>
              <a:ext cx="1832877" cy="244964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139123</xdr:colOff>
      <xdr:row>14</xdr:row>
      <xdr:rowOff>121390</xdr:rowOff>
    </xdr:from>
    <xdr:to>
      <xdr:col>18</xdr:col>
      <xdr:colOff>144755</xdr:colOff>
      <xdr:row>28</xdr:row>
      <xdr:rowOff>25304</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3C513072-732A-6D0A-FB7B-760039FFBAF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204123" y="2661390"/>
              <a:ext cx="1832877" cy="244391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103323</xdr:colOff>
      <xdr:row>0</xdr:row>
      <xdr:rowOff>0</xdr:rowOff>
    </xdr:from>
    <xdr:to>
      <xdr:col>18</xdr:col>
      <xdr:colOff>111081</xdr:colOff>
      <xdr:row>13</xdr:row>
      <xdr:rowOff>91073</xdr:rowOff>
    </xdr:to>
    <mc:AlternateContent xmlns:mc="http://schemas.openxmlformats.org/markup-compatibility/2006" xmlns:a14="http://schemas.microsoft.com/office/drawing/2010/main">
      <mc:Choice Requires="a14">
        <xdr:graphicFrame macro="">
          <xdr:nvGraphicFramePr>
            <xdr:cNvPr id="15" name="Salary Band">
              <a:extLst>
                <a:ext uri="{FF2B5EF4-FFF2-40B4-BE49-F238E27FC236}">
                  <a16:creationId xmlns:a16="http://schemas.microsoft.com/office/drawing/2014/main" id="{556A565E-8415-FA4F-15EF-012FD143E7D0}"/>
                </a:ext>
              </a:extLst>
            </xdr:cNvPr>
            <xdr:cNvGraphicFramePr/>
          </xdr:nvGraphicFramePr>
          <xdr:xfrm>
            <a:off x="0" y="0"/>
            <a:ext cx="0" cy="0"/>
          </xdr:xfrm>
          <a:graphic>
            <a:graphicData uri="http://schemas.microsoft.com/office/drawing/2010/slicer">
              <sle:slicer xmlns:sle="http://schemas.microsoft.com/office/drawing/2010/slicer" name="Salary Band"/>
            </a:graphicData>
          </a:graphic>
        </xdr:graphicFrame>
      </mc:Choice>
      <mc:Fallback xmlns="">
        <xdr:sp macro="" textlink="">
          <xdr:nvSpPr>
            <xdr:cNvPr id="0" name=""/>
            <xdr:cNvSpPr>
              <a:spLocks noTextEdit="1"/>
            </xdr:cNvSpPr>
          </xdr:nvSpPr>
          <xdr:spPr>
            <a:xfrm>
              <a:off x="12168323" y="0"/>
              <a:ext cx="1835003" cy="244964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570204</xdr:colOff>
      <xdr:row>47</xdr:row>
      <xdr:rowOff>110154</xdr:rowOff>
    </xdr:from>
    <xdr:to>
      <xdr:col>7</xdr:col>
      <xdr:colOff>213828</xdr:colOff>
      <xdr:row>57</xdr:row>
      <xdr:rowOff>64796</xdr:rowOff>
    </xdr:to>
    <xdr:graphicFrame macro="">
      <xdr:nvGraphicFramePr>
        <xdr:cNvPr id="3" name="Chart 2">
          <a:extLst>
            <a:ext uri="{FF2B5EF4-FFF2-40B4-BE49-F238E27FC236}">
              <a16:creationId xmlns:a16="http://schemas.microsoft.com/office/drawing/2014/main" id="{DFF5AD34-C7E2-3928-B4AC-121E51135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304541</xdr:colOff>
      <xdr:row>26</xdr:row>
      <xdr:rowOff>32398</xdr:rowOff>
    </xdr:from>
    <xdr:to>
      <xdr:col>10</xdr:col>
      <xdr:colOff>235209</xdr:colOff>
      <xdr:row>34</xdr:row>
      <xdr:rowOff>82161</xdr:rowOff>
    </xdr:to>
    <xdr:graphicFrame macro="">
      <xdr:nvGraphicFramePr>
        <xdr:cNvPr id="16" name="Chart 15">
          <a:extLst>
            <a:ext uri="{FF2B5EF4-FFF2-40B4-BE49-F238E27FC236}">
              <a16:creationId xmlns:a16="http://schemas.microsoft.com/office/drawing/2014/main" id="{EBCBBB55-870E-BF19-3ABF-F0F1CFF2B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259185</xdr:colOff>
      <xdr:row>0</xdr:row>
      <xdr:rowOff>0</xdr:rowOff>
    </xdr:from>
    <xdr:to>
      <xdr:col>10</xdr:col>
      <xdr:colOff>434134</xdr:colOff>
      <xdr:row>12</xdr:row>
      <xdr:rowOff>23844</xdr:rowOff>
    </xdr:to>
    <xdr:graphicFrame macro="">
      <xdr:nvGraphicFramePr>
        <xdr:cNvPr id="19" name="Chart 18">
          <a:extLst>
            <a:ext uri="{FF2B5EF4-FFF2-40B4-BE49-F238E27FC236}">
              <a16:creationId xmlns:a16="http://schemas.microsoft.com/office/drawing/2014/main" id="{8A05B22F-0E6A-3332-7CE8-BFBF96A6F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272144</xdr:colOff>
      <xdr:row>13</xdr:row>
      <xdr:rowOff>58317</xdr:rowOff>
    </xdr:from>
    <xdr:to>
      <xdr:col>10</xdr:col>
      <xdr:colOff>588347</xdr:colOff>
      <xdr:row>24</xdr:row>
      <xdr:rowOff>82162</xdr:rowOff>
    </xdr:to>
    <xdr:graphicFrame macro="">
      <xdr:nvGraphicFramePr>
        <xdr:cNvPr id="20" name="Chart 19">
          <a:extLst>
            <a:ext uri="{FF2B5EF4-FFF2-40B4-BE49-F238E27FC236}">
              <a16:creationId xmlns:a16="http://schemas.microsoft.com/office/drawing/2014/main" id="{6F96415C-5E2C-7497-A89E-597AD7343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97193</xdr:colOff>
      <xdr:row>19</xdr:row>
      <xdr:rowOff>110153</xdr:rowOff>
    </xdr:from>
    <xdr:to>
      <xdr:col>3</xdr:col>
      <xdr:colOff>401735</xdr:colOff>
      <xdr:row>27</xdr:row>
      <xdr:rowOff>25919</xdr:rowOff>
    </xdr:to>
    <xdr:graphicFrame macro="">
      <xdr:nvGraphicFramePr>
        <xdr:cNvPr id="21" name="Chart 20">
          <a:extLst>
            <a:ext uri="{FF2B5EF4-FFF2-40B4-BE49-F238E27FC236}">
              <a16:creationId xmlns:a16="http://schemas.microsoft.com/office/drawing/2014/main" id="{5EADAE86-2EBB-EDC8-4E89-895973B05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550765</xdr:colOff>
      <xdr:row>39</xdr:row>
      <xdr:rowOff>51838</xdr:rowOff>
    </xdr:from>
    <xdr:to>
      <xdr:col>6</xdr:col>
      <xdr:colOff>466531</xdr:colOff>
      <xdr:row>47</xdr:row>
      <xdr:rowOff>133999</xdr:rowOff>
    </xdr:to>
    <xdr:graphicFrame macro="">
      <xdr:nvGraphicFramePr>
        <xdr:cNvPr id="23" name="Chart 22">
          <a:extLst>
            <a:ext uri="{FF2B5EF4-FFF2-40B4-BE49-F238E27FC236}">
              <a16:creationId xmlns:a16="http://schemas.microsoft.com/office/drawing/2014/main" id="{78399C4A-8311-DBEC-215E-E4B92874C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19</xdr:col>
      <xdr:colOff>413820</xdr:colOff>
      <xdr:row>52</xdr:row>
      <xdr:rowOff>136071</xdr:rowOff>
    </xdr:to>
    <xdr:sp macro="" textlink="">
      <xdr:nvSpPr>
        <xdr:cNvPr id="2" name="Rectangle 1">
          <a:extLst>
            <a:ext uri="{FF2B5EF4-FFF2-40B4-BE49-F238E27FC236}">
              <a16:creationId xmlns:a16="http://schemas.microsoft.com/office/drawing/2014/main" id="{65FE959A-4C69-5173-BA15-50503BAF926B}"/>
            </a:ext>
          </a:extLst>
        </xdr:cNvPr>
        <xdr:cNvSpPr/>
      </xdr:nvSpPr>
      <xdr:spPr>
        <a:xfrm>
          <a:off x="0" y="19050"/>
          <a:ext cx="12047927" cy="9551307"/>
        </a:xfrm>
        <a:prstGeom prst="rect">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noFill/>
          </a:endParaRPr>
        </a:p>
      </xdr:txBody>
    </xdr:sp>
    <xdr:clientData/>
  </xdr:twoCellAnchor>
  <xdr:twoCellAnchor>
    <xdr:from>
      <xdr:col>0</xdr:col>
      <xdr:colOff>56696</xdr:colOff>
      <xdr:row>0</xdr:row>
      <xdr:rowOff>40061</xdr:rowOff>
    </xdr:from>
    <xdr:to>
      <xdr:col>19</xdr:col>
      <xdr:colOff>368913</xdr:colOff>
      <xdr:row>52</xdr:row>
      <xdr:rowOff>83154</xdr:rowOff>
    </xdr:to>
    <xdr:sp macro="" textlink="">
      <xdr:nvSpPr>
        <xdr:cNvPr id="7" name="Rectangle 6">
          <a:extLst>
            <a:ext uri="{FF2B5EF4-FFF2-40B4-BE49-F238E27FC236}">
              <a16:creationId xmlns:a16="http://schemas.microsoft.com/office/drawing/2014/main" id="{8546FEEE-C848-0AE6-C3FE-2A749F2D075C}"/>
            </a:ext>
          </a:extLst>
        </xdr:cNvPr>
        <xdr:cNvSpPr/>
      </xdr:nvSpPr>
      <xdr:spPr>
        <a:xfrm>
          <a:off x="56696" y="40061"/>
          <a:ext cx="11946324" cy="9477379"/>
        </a:xfrm>
        <a:prstGeom prst="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ln>
              <a:noFill/>
            </a:ln>
            <a:solidFill>
              <a:schemeClr val="accent2">
                <a:lumMod val="60000"/>
                <a:lumOff val="40000"/>
              </a:schemeClr>
            </a:solidFill>
          </a:endParaRPr>
        </a:p>
      </xdr:txBody>
    </xdr:sp>
    <xdr:clientData/>
  </xdr:twoCellAnchor>
  <xdr:twoCellAnchor>
    <xdr:from>
      <xdr:col>0</xdr:col>
      <xdr:colOff>135231</xdr:colOff>
      <xdr:row>0</xdr:row>
      <xdr:rowOff>135231</xdr:rowOff>
    </xdr:from>
    <xdr:to>
      <xdr:col>2</xdr:col>
      <xdr:colOff>287631</xdr:colOff>
      <xdr:row>51</xdr:row>
      <xdr:rowOff>119063</xdr:rowOff>
    </xdr:to>
    <xdr:sp macro="" textlink="">
      <xdr:nvSpPr>
        <xdr:cNvPr id="8" name="Rectangle: Rounded Corners 7">
          <a:extLst>
            <a:ext uri="{FF2B5EF4-FFF2-40B4-BE49-F238E27FC236}">
              <a16:creationId xmlns:a16="http://schemas.microsoft.com/office/drawing/2014/main" id="{88314C48-783D-8718-8A07-7C7EA16B46DA}"/>
            </a:ext>
          </a:extLst>
        </xdr:cNvPr>
        <xdr:cNvSpPr/>
      </xdr:nvSpPr>
      <xdr:spPr>
        <a:xfrm>
          <a:off x="135231" y="135231"/>
          <a:ext cx="1377043" cy="9236689"/>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352349</xdr:colOff>
      <xdr:row>10</xdr:row>
      <xdr:rowOff>5669</xdr:rowOff>
    </xdr:from>
    <xdr:to>
      <xdr:col>5</xdr:col>
      <xdr:colOff>66955</xdr:colOff>
      <xdr:row>14</xdr:row>
      <xdr:rowOff>136071</xdr:rowOff>
    </xdr:to>
    <xdr:sp macro="" textlink="">
      <xdr:nvSpPr>
        <xdr:cNvPr id="13" name="Rectangle: Rounded Corners 12">
          <a:extLst>
            <a:ext uri="{FF2B5EF4-FFF2-40B4-BE49-F238E27FC236}">
              <a16:creationId xmlns:a16="http://schemas.microsoft.com/office/drawing/2014/main" id="{90CA8E7E-2C98-784A-FE8D-FDC484191BCC}"/>
            </a:ext>
          </a:extLst>
        </xdr:cNvPr>
        <xdr:cNvSpPr/>
      </xdr:nvSpPr>
      <xdr:spPr>
        <a:xfrm>
          <a:off x="1576992" y="1819955"/>
          <a:ext cx="1551570" cy="856116"/>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564830</xdr:colOff>
      <xdr:row>12</xdr:row>
      <xdr:rowOff>136966</xdr:rowOff>
    </xdr:from>
    <xdr:to>
      <xdr:col>4</xdr:col>
      <xdr:colOff>586521</xdr:colOff>
      <xdr:row>14</xdr:row>
      <xdr:rowOff>34590</xdr:rowOff>
    </xdr:to>
    <xdr:sp macro="" textlink="">
      <xdr:nvSpPr>
        <xdr:cNvPr id="14" name="TextBox 13">
          <a:extLst>
            <a:ext uri="{FF2B5EF4-FFF2-40B4-BE49-F238E27FC236}">
              <a16:creationId xmlns:a16="http://schemas.microsoft.com/office/drawing/2014/main" id="{A9748668-B240-0A9D-49DE-22E4DBE3A9B9}"/>
            </a:ext>
          </a:extLst>
        </xdr:cNvPr>
        <xdr:cNvSpPr txBox="1"/>
      </xdr:nvSpPr>
      <xdr:spPr>
        <a:xfrm>
          <a:off x="1789473" y="2314109"/>
          <a:ext cx="1246334" cy="260481"/>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000" b="1">
              <a:solidFill>
                <a:schemeClr val="accent2">
                  <a:lumMod val="60000"/>
                  <a:lumOff val="40000"/>
                </a:schemeClr>
              </a:solidFill>
            </a:rPr>
            <a:t>TOTAL EMPLOYEES</a:t>
          </a:r>
          <a:endParaRPr lang="en-NG" sz="1000" b="1">
            <a:solidFill>
              <a:schemeClr val="accent2">
                <a:lumMod val="60000"/>
                <a:lumOff val="40000"/>
              </a:schemeClr>
            </a:solidFill>
          </a:endParaRPr>
        </a:p>
      </xdr:txBody>
    </xdr:sp>
    <xdr:clientData/>
  </xdr:twoCellAnchor>
  <xdr:twoCellAnchor>
    <xdr:from>
      <xdr:col>2</xdr:col>
      <xdr:colOff>381000</xdr:colOff>
      <xdr:row>1</xdr:row>
      <xdr:rowOff>50800</xdr:rowOff>
    </xdr:from>
    <xdr:to>
      <xdr:col>18</xdr:col>
      <xdr:colOff>546100</xdr:colOff>
      <xdr:row>5</xdr:row>
      <xdr:rowOff>158750</xdr:rowOff>
    </xdr:to>
    <xdr:sp macro="" textlink="">
      <xdr:nvSpPr>
        <xdr:cNvPr id="15" name="Rectangle: Rounded Corners 14">
          <a:extLst>
            <a:ext uri="{FF2B5EF4-FFF2-40B4-BE49-F238E27FC236}">
              <a16:creationId xmlns:a16="http://schemas.microsoft.com/office/drawing/2014/main" id="{FECB00DD-5CBC-E878-F341-6A789703CFEF}"/>
            </a:ext>
          </a:extLst>
        </xdr:cNvPr>
        <xdr:cNvSpPr/>
      </xdr:nvSpPr>
      <xdr:spPr>
        <a:xfrm>
          <a:off x="1600200" y="234950"/>
          <a:ext cx="9918700" cy="844550"/>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b="1"/>
        </a:p>
      </xdr:txBody>
    </xdr:sp>
    <xdr:clientData/>
  </xdr:twoCellAnchor>
  <xdr:twoCellAnchor>
    <xdr:from>
      <xdr:col>3</xdr:col>
      <xdr:colOff>44450</xdr:colOff>
      <xdr:row>3</xdr:row>
      <xdr:rowOff>54219</xdr:rowOff>
    </xdr:from>
    <xdr:to>
      <xdr:col>18</xdr:col>
      <xdr:colOff>279400</xdr:colOff>
      <xdr:row>6</xdr:row>
      <xdr:rowOff>60569</xdr:rowOff>
    </xdr:to>
    <xdr:sp macro="" textlink="">
      <xdr:nvSpPr>
        <xdr:cNvPr id="16" name="TextBox 15">
          <a:extLst>
            <a:ext uri="{FF2B5EF4-FFF2-40B4-BE49-F238E27FC236}">
              <a16:creationId xmlns:a16="http://schemas.microsoft.com/office/drawing/2014/main" id="{CFF19F30-D324-4699-667D-1F9806861688}"/>
            </a:ext>
          </a:extLst>
        </xdr:cNvPr>
        <xdr:cNvSpPr txBox="1"/>
      </xdr:nvSpPr>
      <xdr:spPr>
        <a:xfrm>
          <a:off x="1861527" y="611065"/>
          <a:ext cx="9320335" cy="563196"/>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accent2">
                  <a:lumMod val="60000"/>
                  <a:lumOff val="40000"/>
                </a:schemeClr>
              </a:solidFill>
            </a:rPr>
            <a:t>8TH GEAR HUB -</a:t>
          </a:r>
          <a:r>
            <a:rPr lang="en-GB" sz="2800" b="1" baseline="0">
              <a:solidFill>
                <a:schemeClr val="accent2">
                  <a:lumMod val="60000"/>
                  <a:lumOff val="40000"/>
                </a:schemeClr>
              </a:solidFill>
            </a:rPr>
            <a:t> HR ANALYTICS DASHBOARD</a:t>
          </a:r>
          <a:endParaRPr lang="en-NG" sz="2800" b="1">
            <a:solidFill>
              <a:schemeClr val="accent2">
                <a:lumMod val="60000"/>
                <a:lumOff val="40000"/>
              </a:schemeClr>
            </a:solidFill>
          </a:endParaRPr>
        </a:p>
      </xdr:txBody>
    </xdr:sp>
    <xdr:clientData/>
  </xdr:twoCellAnchor>
  <xdr:twoCellAnchor>
    <xdr:from>
      <xdr:col>5</xdr:col>
      <xdr:colOff>130994</xdr:colOff>
      <xdr:row>10</xdr:row>
      <xdr:rowOff>17009</xdr:rowOff>
    </xdr:from>
    <xdr:to>
      <xdr:col>8</xdr:col>
      <xdr:colOff>199775</xdr:colOff>
      <xdr:row>14</xdr:row>
      <xdr:rowOff>151190</xdr:rowOff>
    </xdr:to>
    <xdr:sp macro="" textlink="">
      <xdr:nvSpPr>
        <xdr:cNvPr id="17" name="Rectangle: Rounded Corners 16">
          <a:extLst>
            <a:ext uri="{FF2B5EF4-FFF2-40B4-BE49-F238E27FC236}">
              <a16:creationId xmlns:a16="http://schemas.microsoft.com/office/drawing/2014/main" id="{D47288CF-2785-F295-AA05-0FBB7ED12CCD}"/>
            </a:ext>
          </a:extLst>
        </xdr:cNvPr>
        <xdr:cNvSpPr/>
      </xdr:nvSpPr>
      <xdr:spPr>
        <a:xfrm>
          <a:off x="3192601" y="1831295"/>
          <a:ext cx="1905745" cy="859895"/>
        </a:xfrm>
        <a:prstGeom prst="roundRect">
          <a:avLst>
            <a:gd name="adj" fmla="val 16667"/>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244375</xdr:colOff>
      <xdr:row>10</xdr:row>
      <xdr:rowOff>28348</xdr:rowOff>
    </xdr:from>
    <xdr:to>
      <xdr:col>11</xdr:col>
      <xdr:colOff>15775</xdr:colOff>
      <xdr:row>14</xdr:row>
      <xdr:rowOff>136072</xdr:rowOff>
    </xdr:to>
    <xdr:sp macro="" textlink="">
      <xdr:nvSpPr>
        <xdr:cNvPr id="18" name="Rectangle: Rounded Corners 17">
          <a:extLst>
            <a:ext uri="{FF2B5EF4-FFF2-40B4-BE49-F238E27FC236}">
              <a16:creationId xmlns:a16="http://schemas.microsoft.com/office/drawing/2014/main" id="{B1EF9AE8-B5A5-B022-815E-AC75D016D14E}"/>
            </a:ext>
          </a:extLst>
        </xdr:cNvPr>
        <xdr:cNvSpPr/>
      </xdr:nvSpPr>
      <xdr:spPr>
        <a:xfrm>
          <a:off x="5142946" y="1842634"/>
          <a:ext cx="1608365" cy="833438"/>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87445</xdr:colOff>
      <xdr:row>10</xdr:row>
      <xdr:rowOff>22152</xdr:rowOff>
    </xdr:from>
    <xdr:to>
      <xdr:col>13</xdr:col>
      <xdr:colOff>522455</xdr:colOff>
      <xdr:row>14</xdr:row>
      <xdr:rowOff>143632</xdr:rowOff>
    </xdr:to>
    <xdr:sp macro="" textlink="">
      <xdr:nvSpPr>
        <xdr:cNvPr id="19" name="Rectangle: Rounded Corners 18">
          <a:extLst>
            <a:ext uri="{FF2B5EF4-FFF2-40B4-BE49-F238E27FC236}">
              <a16:creationId xmlns:a16="http://schemas.microsoft.com/office/drawing/2014/main" id="{A97A0657-2A14-0ECF-0DD6-9EC645D8B790}"/>
            </a:ext>
          </a:extLst>
        </xdr:cNvPr>
        <xdr:cNvSpPr/>
      </xdr:nvSpPr>
      <xdr:spPr>
        <a:xfrm>
          <a:off x="6822981" y="1836438"/>
          <a:ext cx="1659653" cy="847194"/>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585015</xdr:colOff>
      <xdr:row>10</xdr:row>
      <xdr:rowOff>37797</xdr:rowOff>
    </xdr:from>
    <xdr:to>
      <xdr:col>16</xdr:col>
      <xdr:colOff>305819</xdr:colOff>
      <xdr:row>14</xdr:row>
      <xdr:rowOff>166310</xdr:rowOff>
    </xdr:to>
    <xdr:sp macro="" textlink="">
      <xdr:nvSpPr>
        <xdr:cNvPr id="20" name="Rectangle: Rounded Corners 19">
          <a:extLst>
            <a:ext uri="{FF2B5EF4-FFF2-40B4-BE49-F238E27FC236}">
              <a16:creationId xmlns:a16="http://schemas.microsoft.com/office/drawing/2014/main" id="{B053F9BC-A850-3B60-620B-2AA62E0A08FE}"/>
            </a:ext>
          </a:extLst>
        </xdr:cNvPr>
        <xdr:cNvSpPr/>
      </xdr:nvSpPr>
      <xdr:spPr>
        <a:xfrm>
          <a:off x="8545194" y="1852083"/>
          <a:ext cx="1557768" cy="854227"/>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409616</xdr:colOff>
      <xdr:row>10</xdr:row>
      <xdr:rowOff>34018</xdr:rowOff>
    </xdr:from>
    <xdr:to>
      <xdr:col>19</xdr:col>
      <xdr:colOff>209840</xdr:colOff>
      <xdr:row>14</xdr:row>
      <xdr:rowOff>143631</xdr:rowOff>
    </xdr:to>
    <xdr:sp macro="" textlink="">
      <xdr:nvSpPr>
        <xdr:cNvPr id="21" name="Rectangle: Rounded Corners 20">
          <a:extLst>
            <a:ext uri="{FF2B5EF4-FFF2-40B4-BE49-F238E27FC236}">
              <a16:creationId xmlns:a16="http://schemas.microsoft.com/office/drawing/2014/main" id="{483992F0-9369-4586-C728-BAEA660774AC}"/>
            </a:ext>
          </a:extLst>
        </xdr:cNvPr>
        <xdr:cNvSpPr/>
      </xdr:nvSpPr>
      <xdr:spPr>
        <a:xfrm>
          <a:off x="10206759" y="1848304"/>
          <a:ext cx="1637188" cy="835327"/>
        </a:xfrm>
        <a:prstGeom prst="roundRect">
          <a:avLst>
            <a:gd name="adj" fmla="val 14260"/>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290049</xdr:colOff>
      <xdr:row>10</xdr:row>
      <xdr:rowOff>87833</xdr:rowOff>
    </xdr:from>
    <xdr:to>
      <xdr:col>4</xdr:col>
      <xdr:colOff>460643</xdr:colOff>
      <xdr:row>12</xdr:row>
      <xdr:rowOff>57652</xdr:rowOff>
    </xdr:to>
    <xdr:sp macro="" textlink="">
      <xdr:nvSpPr>
        <xdr:cNvPr id="22" name="TextBox 21">
          <a:extLst>
            <a:ext uri="{FF2B5EF4-FFF2-40B4-BE49-F238E27FC236}">
              <a16:creationId xmlns:a16="http://schemas.microsoft.com/office/drawing/2014/main" id="{5E7EE687-192D-7AD0-EAFF-4E838937F730}"/>
            </a:ext>
          </a:extLst>
        </xdr:cNvPr>
        <xdr:cNvSpPr txBox="1"/>
      </xdr:nvSpPr>
      <xdr:spPr>
        <a:xfrm>
          <a:off x="2127013" y="1902119"/>
          <a:ext cx="782916" cy="332676"/>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accent2">
                  <a:lumMod val="60000"/>
                  <a:lumOff val="40000"/>
                </a:schemeClr>
              </a:solidFill>
            </a:rPr>
            <a:t>1020</a:t>
          </a:r>
          <a:endParaRPr lang="en-NG" sz="2000" b="1">
            <a:solidFill>
              <a:schemeClr val="accent2">
                <a:lumMod val="60000"/>
                <a:lumOff val="40000"/>
              </a:schemeClr>
            </a:solidFill>
          </a:endParaRPr>
        </a:p>
      </xdr:txBody>
    </xdr:sp>
    <xdr:clientData/>
  </xdr:twoCellAnchor>
  <xdr:twoCellAnchor>
    <xdr:from>
      <xdr:col>8</xdr:col>
      <xdr:colOff>550340</xdr:colOff>
      <xdr:row>12</xdr:row>
      <xdr:rowOff>149301</xdr:rowOff>
    </xdr:from>
    <xdr:to>
      <xdr:col>10</xdr:col>
      <xdr:colOff>601640</xdr:colOff>
      <xdr:row>14</xdr:row>
      <xdr:rowOff>2048</xdr:rowOff>
    </xdr:to>
    <xdr:sp macro="" textlink="">
      <xdr:nvSpPr>
        <xdr:cNvPr id="23" name="TextBox 22">
          <a:extLst>
            <a:ext uri="{FF2B5EF4-FFF2-40B4-BE49-F238E27FC236}">
              <a16:creationId xmlns:a16="http://schemas.microsoft.com/office/drawing/2014/main" id="{7DF38B55-D2EB-1C9A-91F6-2A769E8BE768}"/>
            </a:ext>
          </a:extLst>
        </xdr:cNvPr>
        <xdr:cNvSpPr txBox="1"/>
      </xdr:nvSpPr>
      <xdr:spPr>
        <a:xfrm>
          <a:off x="5448911" y="2326444"/>
          <a:ext cx="1275943" cy="21560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accent2">
                  <a:lumMod val="60000"/>
                  <a:lumOff val="40000"/>
                </a:schemeClr>
              </a:solidFill>
            </a:rPr>
            <a:t>ACTIVE EMPLOYEES</a:t>
          </a:r>
          <a:endParaRPr lang="en-NG" sz="1000" b="1">
            <a:solidFill>
              <a:schemeClr val="accent2">
                <a:lumMod val="60000"/>
                <a:lumOff val="40000"/>
              </a:schemeClr>
            </a:solidFill>
          </a:endParaRPr>
        </a:p>
      </xdr:txBody>
    </xdr:sp>
    <xdr:clientData/>
  </xdr:twoCellAnchor>
  <xdr:twoCellAnchor>
    <xdr:from>
      <xdr:col>9</xdr:col>
      <xdr:colOff>285393</xdr:colOff>
      <xdr:row>10</xdr:row>
      <xdr:rowOff>101804</xdr:rowOff>
    </xdr:from>
    <xdr:to>
      <xdr:col>10</xdr:col>
      <xdr:colOff>292528</xdr:colOff>
      <xdr:row>12</xdr:row>
      <xdr:rowOff>108867</xdr:rowOff>
    </xdr:to>
    <xdr:sp macro="" textlink="">
      <xdr:nvSpPr>
        <xdr:cNvPr id="24" name="TextBox 23">
          <a:extLst>
            <a:ext uri="{FF2B5EF4-FFF2-40B4-BE49-F238E27FC236}">
              <a16:creationId xmlns:a16="http://schemas.microsoft.com/office/drawing/2014/main" id="{19F55008-20C4-BD36-44B4-CF0A28C66A05}"/>
            </a:ext>
          </a:extLst>
        </xdr:cNvPr>
        <xdr:cNvSpPr txBox="1"/>
      </xdr:nvSpPr>
      <xdr:spPr>
        <a:xfrm>
          <a:off x="5796286" y="1916090"/>
          <a:ext cx="619456" cy="36992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accent2">
                  <a:lumMod val="60000"/>
                  <a:lumOff val="40000"/>
                </a:schemeClr>
              </a:solidFill>
            </a:rPr>
            <a:t>352</a:t>
          </a:r>
          <a:endParaRPr lang="en-NG" sz="2000" b="1">
            <a:solidFill>
              <a:schemeClr val="accent2">
                <a:lumMod val="60000"/>
                <a:lumOff val="40000"/>
              </a:schemeClr>
            </a:solidFill>
          </a:endParaRPr>
        </a:p>
      </xdr:txBody>
    </xdr:sp>
    <xdr:clientData/>
  </xdr:twoCellAnchor>
  <xdr:twoCellAnchor>
    <xdr:from>
      <xdr:col>11</xdr:col>
      <xdr:colOff>163925</xdr:colOff>
      <xdr:row>12</xdr:row>
      <xdr:rowOff>138111</xdr:rowOff>
    </xdr:from>
    <xdr:to>
      <xdr:col>13</xdr:col>
      <xdr:colOff>446535</xdr:colOff>
      <xdr:row>14</xdr:row>
      <xdr:rowOff>98273</xdr:rowOff>
    </xdr:to>
    <xdr:sp macro="" textlink="">
      <xdr:nvSpPr>
        <xdr:cNvPr id="25" name="TextBox 24">
          <a:extLst>
            <a:ext uri="{FF2B5EF4-FFF2-40B4-BE49-F238E27FC236}">
              <a16:creationId xmlns:a16="http://schemas.microsoft.com/office/drawing/2014/main" id="{EF61351E-8226-5337-7C52-B0FE1CBDEEBF}"/>
            </a:ext>
          </a:extLst>
        </xdr:cNvPr>
        <xdr:cNvSpPr txBox="1"/>
      </xdr:nvSpPr>
      <xdr:spPr>
        <a:xfrm>
          <a:off x="6899461" y="2315254"/>
          <a:ext cx="1507253" cy="32301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000" b="1">
              <a:solidFill>
                <a:schemeClr val="accent2">
                  <a:lumMod val="60000"/>
                  <a:lumOff val="40000"/>
                </a:schemeClr>
              </a:solidFill>
            </a:rPr>
            <a:t>INACTIVE EMPLOYEES</a:t>
          </a:r>
          <a:endParaRPr lang="en-NG" sz="1000" b="1">
            <a:solidFill>
              <a:schemeClr val="accent2">
                <a:lumMod val="60000"/>
                <a:lumOff val="40000"/>
              </a:schemeClr>
            </a:solidFill>
          </a:endParaRPr>
        </a:p>
      </xdr:txBody>
    </xdr:sp>
    <xdr:clientData/>
  </xdr:twoCellAnchor>
  <xdr:twoCellAnchor>
    <xdr:from>
      <xdr:col>12</xdr:col>
      <xdr:colOff>204018</xdr:colOff>
      <xdr:row>10</xdr:row>
      <xdr:rowOff>77087</xdr:rowOff>
    </xdr:from>
    <xdr:to>
      <xdr:col>13</xdr:col>
      <xdr:colOff>276793</xdr:colOff>
      <xdr:row>12</xdr:row>
      <xdr:rowOff>81794</xdr:rowOff>
    </xdr:to>
    <xdr:sp macro="" textlink="">
      <xdr:nvSpPr>
        <xdr:cNvPr id="27" name="TextBox 26">
          <a:extLst>
            <a:ext uri="{FF2B5EF4-FFF2-40B4-BE49-F238E27FC236}">
              <a16:creationId xmlns:a16="http://schemas.microsoft.com/office/drawing/2014/main" id="{588A65F3-E1C6-E626-889E-C3A46A603960}"/>
            </a:ext>
          </a:extLst>
        </xdr:cNvPr>
        <xdr:cNvSpPr txBox="1"/>
      </xdr:nvSpPr>
      <xdr:spPr>
        <a:xfrm>
          <a:off x="7551875" y="1891373"/>
          <a:ext cx="685097" cy="36756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accent2">
                  <a:lumMod val="60000"/>
                  <a:lumOff val="40000"/>
                </a:schemeClr>
              </a:solidFill>
            </a:rPr>
            <a:t>312</a:t>
          </a:r>
          <a:endParaRPr lang="en-NG" sz="2000" b="1">
            <a:solidFill>
              <a:schemeClr val="accent2">
                <a:lumMod val="60000"/>
                <a:lumOff val="40000"/>
              </a:schemeClr>
            </a:solidFill>
          </a:endParaRPr>
        </a:p>
      </xdr:txBody>
    </xdr:sp>
    <xdr:clientData/>
  </xdr:twoCellAnchor>
  <xdr:twoCellAnchor>
    <xdr:from>
      <xdr:col>13</xdr:col>
      <xdr:colOff>601412</xdr:colOff>
      <xdr:row>12</xdr:row>
      <xdr:rowOff>122565</xdr:rowOff>
    </xdr:from>
    <xdr:to>
      <xdr:col>16</xdr:col>
      <xdr:colOff>231817</xdr:colOff>
      <xdr:row>14</xdr:row>
      <xdr:rowOff>8980</xdr:rowOff>
    </xdr:to>
    <xdr:sp macro="" textlink="">
      <xdr:nvSpPr>
        <xdr:cNvPr id="28" name="TextBox 27">
          <a:extLst>
            <a:ext uri="{FF2B5EF4-FFF2-40B4-BE49-F238E27FC236}">
              <a16:creationId xmlns:a16="http://schemas.microsoft.com/office/drawing/2014/main" id="{F6C8C2CA-C51A-C188-0F0F-4FC5110D836C}"/>
            </a:ext>
          </a:extLst>
        </xdr:cNvPr>
        <xdr:cNvSpPr txBox="1"/>
      </xdr:nvSpPr>
      <xdr:spPr>
        <a:xfrm>
          <a:off x="8561591" y="2299708"/>
          <a:ext cx="1467369" cy="249272"/>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000" b="1">
              <a:solidFill>
                <a:schemeClr val="accent2">
                  <a:lumMod val="60000"/>
                  <a:lumOff val="40000"/>
                </a:schemeClr>
              </a:solidFill>
            </a:rPr>
            <a:t>PENDING EMPLOYEES</a:t>
          </a:r>
          <a:endParaRPr lang="en-NG" sz="1000" b="1">
            <a:solidFill>
              <a:schemeClr val="accent2">
                <a:lumMod val="60000"/>
                <a:lumOff val="40000"/>
              </a:schemeClr>
            </a:solidFill>
          </a:endParaRPr>
        </a:p>
      </xdr:txBody>
    </xdr:sp>
    <xdr:clientData/>
  </xdr:twoCellAnchor>
  <xdr:twoCellAnchor>
    <xdr:from>
      <xdr:col>14</xdr:col>
      <xdr:colOff>552853</xdr:colOff>
      <xdr:row>10</xdr:row>
      <xdr:rowOff>83261</xdr:rowOff>
    </xdr:from>
    <xdr:to>
      <xdr:col>15</xdr:col>
      <xdr:colOff>582889</xdr:colOff>
      <xdr:row>12</xdr:row>
      <xdr:rowOff>61856</xdr:rowOff>
    </xdr:to>
    <xdr:sp macro="" textlink="">
      <xdr:nvSpPr>
        <xdr:cNvPr id="29" name="TextBox 28">
          <a:extLst>
            <a:ext uri="{FF2B5EF4-FFF2-40B4-BE49-F238E27FC236}">
              <a16:creationId xmlns:a16="http://schemas.microsoft.com/office/drawing/2014/main" id="{9BBA6A5B-D163-CEA4-D9BE-35CA727FE1DD}"/>
            </a:ext>
          </a:extLst>
        </xdr:cNvPr>
        <xdr:cNvSpPr txBox="1"/>
      </xdr:nvSpPr>
      <xdr:spPr>
        <a:xfrm>
          <a:off x="9125353" y="1897547"/>
          <a:ext cx="642357" cy="341452"/>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accent2">
                  <a:lumMod val="60000"/>
                  <a:lumOff val="40000"/>
                </a:schemeClr>
              </a:solidFill>
            </a:rPr>
            <a:t>356</a:t>
          </a:r>
          <a:endParaRPr lang="en-NG" sz="2000" b="1">
            <a:solidFill>
              <a:schemeClr val="accent2">
                <a:lumMod val="60000"/>
                <a:lumOff val="40000"/>
              </a:schemeClr>
            </a:solidFill>
          </a:endParaRPr>
        </a:p>
      </xdr:txBody>
    </xdr:sp>
    <xdr:clientData/>
  </xdr:twoCellAnchor>
  <xdr:twoCellAnchor>
    <xdr:from>
      <xdr:col>17</xdr:col>
      <xdr:colOff>102628</xdr:colOff>
      <xdr:row>12</xdr:row>
      <xdr:rowOff>126199</xdr:rowOff>
    </xdr:from>
    <xdr:to>
      <xdr:col>19</xdr:col>
      <xdr:colOff>117611</xdr:colOff>
      <xdr:row>13</xdr:row>
      <xdr:rowOff>144536</xdr:rowOff>
    </xdr:to>
    <xdr:sp macro="" textlink="">
      <xdr:nvSpPr>
        <xdr:cNvPr id="30" name="TextBox 29">
          <a:extLst>
            <a:ext uri="{FF2B5EF4-FFF2-40B4-BE49-F238E27FC236}">
              <a16:creationId xmlns:a16="http://schemas.microsoft.com/office/drawing/2014/main" id="{7A2CF8CD-A3B2-5118-3D5F-ED71C6286E63}"/>
            </a:ext>
          </a:extLst>
        </xdr:cNvPr>
        <xdr:cNvSpPr txBox="1"/>
      </xdr:nvSpPr>
      <xdr:spPr>
        <a:xfrm>
          <a:off x="10512092" y="2303342"/>
          <a:ext cx="1239626" cy="199765"/>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000" b="1">
              <a:solidFill>
                <a:schemeClr val="accent2">
                  <a:lumMod val="60000"/>
                  <a:lumOff val="40000"/>
                </a:schemeClr>
              </a:solidFill>
            </a:rPr>
            <a:t>AVERAGE</a:t>
          </a:r>
          <a:r>
            <a:rPr lang="en-GB" sz="1000" b="1" baseline="0">
              <a:solidFill>
                <a:schemeClr val="accent2">
                  <a:lumMod val="60000"/>
                  <a:lumOff val="40000"/>
                </a:schemeClr>
              </a:solidFill>
            </a:rPr>
            <a:t> SALARY</a:t>
          </a:r>
          <a:endParaRPr lang="en-NG" sz="1000" b="1">
            <a:solidFill>
              <a:schemeClr val="accent2">
                <a:lumMod val="60000"/>
                <a:lumOff val="40000"/>
              </a:schemeClr>
            </a:solidFill>
          </a:endParaRPr>
        </a:p>
      </xdr:txBody>
    </xdr:sp>
    <xdr:clientData/>
  </xdr:twoCellAnchor>
  <xdr:twoCellAnchor>
    <xdr:from>
      <xdr:col>17</xdr:col>
      <xdr:colOff>270076</xdr:colOff>
      <xdr:row>10</xdr:row>
      <xdr:rowOff>112170</xdr:rowOff>
    </xdr:from>
    <xdr:to>
      <xdr:col>19</xdr:col>
      <xdr:colOff>149640</xdr:colOff>
      <xdr:row>12</xdr:row>
      <xdr:rowOff>91477</xdr:rowOff>
    </xdr:to>
    <xdr:sp macro="" textlink="">
      <xdr:nvSpPr>
        <xdr:cNvPr id="31" name="TextBox 30">
          <a:extLst>
            <a:ext uri="{FF2B5EF4-FFF2-40B4-BE49-F238E27FC236}">
              <a16:creationId xmlns:a16="http://schemas.microsoft.com/office/drawing/2014/main" id="{BD31CEED-39F8-48C3-1374-EA8394108D8C}"/>
            </a:ext>
          </a:extLst>
        </xdr:cNvPr>
        <xdr:cNvSpPr txBox="1"/>
      </xdr:nvSpPr>
      <xdr:spPr>
        <a:xfrm>
          <a:off x="10679540" y="1926456"/>
          <a:ext cx="1104207" cy="34216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2000" b="1">
              <a:solidFill>
                <a:schemeClr val="accent2">
                  <a:lumMod val="60000"/>
                  <a:lumOff val="40000"/>
                </a:schemeClr>
              </a:solidFill>
            </a:rPr>
            <a:t>₦83,151 </a:t>
          </a:r>
        </a:p>
      </xdr:txBody>
    </xdr:sp>
    <xdr:clientData/>
  </xdr:twoCellAnchor>
  <xdr:twoCellAnchor>
    <xdr:from>
      <xdr:col>5</xdr:col>
      <xdr:colOff>514889</xdr:colOff>
      <xdr:row>12</xdr:row>
      <xdr:rowOff>124322</xdr:rowOff>
    </xdr:from>
    <xdr:to>
      <xdr:col>7</xdr:col>
      <xdr:colOff>464088</xdr:colOff>
      <xdr:row>13</xdr:row>
      <xdr:rowOff>156071</xdr:rowOff>
    </xdr:to>
    <xdr:sp macro="" textlink="">
      <xdr:nvSpPr>
        <xdr:cNvPr id="32" name="TextBox 31">
          <a:extLst>
            <a:ext uri="{FF2B5EF4-FFF2-40B4-BE49-F238E27FC236}">
              <a16:creationId xmlns:a16="http://schemas.microsoft.com/office/drawing/2014/main" id="{D5DDF705-F55E-DC64-7F07-625DDFF6DE5B}"/>
            </a:ext>
          </a:extLst>
        </xdr:cNvPr>
        <xdr:cNvSpPr txBox="1"/>
      </xdr:nvSpPr>
      <xdr:spPr>
        <a:xfrm>
          <a:off x="3579133" y="2339438"/>
          <a:ext cx="1174897" cy="216342"/>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000" b="1">
              <a:solidFill>
                <a:schemeClr val="accent2">
                  <a:lumMod val="60000"/>
                  <a:lumOff val="40000"/>
                </a:schemeClr>
              </a:solidFill>
            </a:rPr>
            <a:t>TOTAL</a:t>
          </a:r>
          <a:r>
            <a:rPr lang="en-GB" sz="1000" b="1" baseline="0">
              <a:solidFill>
                <a:schemeClr val="accent2">
                  <a:lumMod val="60000"/>
                  <a:lumOff val="40000"/>
                </a:schemeClr>
              </a:solidFill>
            </a:rPr>
            <a:t> SALARY </a:t>
          </a:r>
          <a:endParaRPr lang="en-NG" sz="1000" b="1">
            <a:solidFill>
              <a:schemeClr val="accent2">
                <a:lumMod val="60000"/>
                <a:lumOff val="40000"/>
              </a:schemeClr>
            </a:solidFill>
          </a:endParaRPr>
        </a:p>
      </xdr:txBody>
    </xdr:sp>
    <xdr:clientData/>
  </xdr:twoCellAnchor>
  <xdr:twoCellAnchor>
    <xdr:from>
      <xdr:col>5</xdr:col>
      <xdr:colOff>556367</xdr:colOff>
      <xdr:row>10</xdr:row>
      <xdr:rowOff>93350</xdr:rowOff>
    </xdr:from>
    <xdr:to>
      <xdr:col>8</xdr:col>
      <xdr:colOff>139766</xdr:colOff>
      <xdr:row>12</xdr:row>
      <xdr:rowOff>92205</xdr:rowOff>
    </xdr:to>
    <xdr:sp macro="" textlink="">
      <xdr:nvSpPr>
        <xdr:cNvPr id="34" name="TextBox 33">
          <a:extLst>
            <a:ext uri="{FF2B5EF4-FFF2-40B4-BE49-F238E27FC236}">
              <a16:creationId xmlns:a16="http://schemas.microsoft.com/office/drawing/2014/main" id="{02E484EF-3057-6FDC-E416-50FD7DD9598D}"/>
            </a:ext>
          </a:extLst>
        </xdr:cNvPr>
        <xdr:cNvSpPr txBox="1"/>
      </xdr:nvSpPr>
      <xdr:spPr>
        <a:xfrm>
          <a:off x="3606038" y="1931508"/>
          <a:ext cx="1413202" cy="366486"/>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800" b="1">
              <a:solidFill>
                <a:schemeClr val="accent2">
                  <a:lumMod val="60000"/>
                  <a:lumOff val="40000"/>
                </a:schemeClr>
              </a:solidFill>
            </a:rPr>
            <a:t>₦84,814,436 </a:t>
          </a:r>
        </a:p>
      </xdr:txBody>
    </xdr:sp>
    <xdr:clientData/>
  </xdr:twoCellAnchor>
  <xdr:twoCellAnchor editAs="oneCell">
    <xdr:from>
      <xdr:col>0</xdr:col>
      <xdr:colOff>160258</xdr:colOff>
      <xdr:row>13</xdr:row>
      <xdr:rowOff>9205</xdr:rowOff>
    </xdr:from>
    <xdr:to>
      <xdr:col>2</xdr:col>
      <xdr:colOff>129353</xdr:colOff>
      <xdr:row>19</xdr:row>
      <xdr:rowOff>73626</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82AEC8A9-7527-4C03-9C04-A937BDD4EDE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0258" y="2330924"/>
              <a:ext cx="1199408" cy="11359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169061</xdr:colOff>
      <xdr:row>22</xdr:row>
      <xdr:rowOff>23676</xdr:rowOff>
    </xdr:from>
    <xdr:to>
      <xdr:col>2</xdr:col>
      <xdr:colOff>135232</xdr:colOff>
      <xdr:row>28</xdr:row>
      <xdr:rowOff>39450</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AE893314-6067-42CB-B629-384591DC7D6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9061" y="3952739"/>
              <a:ext cx="1196484" cy="108733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179860</xdr:colOff>
      <xdr:row>31</xdr:row>
      <xdr:rowOff>25507</xdr:rowOff>
    </xdr:from>
    <xdr:to>
      <xdr:col>2</xdr:col>
      <xdr:colOff>111712</xdr:colOff>
      <xdr:row>37</xdr:row>
      <xdr:rowOff>92488</xdr:rowOff>
    </xdr:to>
    <mc:AlternateContent xmlns:mc="http://schemas.openxmlformats.org/markup-compatibility/2006" xmlns:a14="http://schemas.microsoft.com/office/drawing/2010/main">
      <mc:Choice Requires="a14">
        <xdr:graphicFrame macro="">
          <xdr:nvGraphicFramePr>
            <xdr:cNvPr id="49" name="Salary Band 1">
              <a:extLst>
                <a:ext uri="{FF2B5EF4-FFF2-40B4-BE49-F238E27FC236}">
                  <a16:creationId xmlns:a16="http://schemas.microsoft.com/office/drawing/2014/main" id="{8DF5060D-8F33-4251-BDB6-D75BDB583F6A}"/>
                </a:ext>
              </a:extLst>
            </xdr:cNvPr>
            <xdr:cNvGraphicFramePr/>
          </xdr:nvGraphicFramePr>
          <xdr:xfrm>
            <a:off x="0" y="0"/>
            <a:ext cx="0" cy="0"/>
          </xdr:xfrm>
          <a:graphic>
            <a:graphicData uri="http://schemas.microsoft.com/office/drawing/2010/slicer">
              <sle:slicer xmlns:sle="http://schemas.microsoft.com/office/drawing/2010/slicer" name="Salary Band 1"/>
            </a:graphicData>
          </a:graphic>
        </xdr:graphicFrame>
      </mc:Choice>
      <mc:Fallback xmlns="">
        <xdr:sp macro="" textlink="">
          <xdr:nvSpPr>
            <xdr:cNvPr id="0" name=""/>
            <xdr:cNvSpPr>
              <a:spLocks noTextEdit="1"/>
            </xdr:cNvSpPr>
          </xdr:nvSpPr>
          <xdr:spPr>
            <a:xfrm>
              <a:off x="179860" y="5561913"/>
              <a:ext cx="1162165" cy="113854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170509</xdr:colOff>
      <xdr:row>39</xdr:row>
      <xdr:rowOff>140972</xdr:rowOff>
    </xdr:from>
    <xdr:to>
      <xdr:col>2</xdr:col>
      <xdr:colOff>94075</xdr:colOff>
      <xdr:row>46</xdr:row>
      <xdr:rowOff>16494</xdr:rowOff>
    </xdr:to>
    <mc:AlternateContent xmlns:mc="http://schemas.openxmlformats.org/markup-compatibility/2006" xmlns:a14="http://schemas.microsoft.com/office/drawing/2010/main">
      <mc:Choice Requires="a14">
        <xdr:graphicFrame macro="">
          <xdr:nvGraphicFramePr>
            <xdr:cNvPr id="51" name="Status 1">
              <a:extLst>
                <a:ext uri="{FF2B5EF4-FFF2-40B4-BE49-F238E27FC236}">
                  <a16:creationId xmlns:a16="http://schemas.microsoft.com/office/drawing/2014/main" id="{549F9636-DE0B-4796-B4A0-61811F4B4D4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70509" y="7106128"/>
              <a:ext cx="1153879" cy="135234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461862</xdr:colOff>
      <xdr:row>10</xdr:row>
      <xdr:rowOff>122105</xdr:rowOff>
    </xdr:from>
    <xdr:to>
      <xdr:col>3</xdr:col>
      <xdr:colOff>199014</xdr:colOff>
      <xdr:row>12</xdr:row>
      <xdr:rowOff>94706</xdr:rowOff>
    </xdr:to>
    <xdr:pic>
      <xdr:nvPicPr>
        <xdr:cNvPr id="6" name="Graphic 5" descr="User with solid fill">
          <a:extLst>
            <a:ext uri="{FF2B5EF4-FFF2-40B4-BE49-F238E27FC236}">
              <a16:creationId xmlns:a16="http://schemas.microsoft.com/office/drawing/2014/main" id="{E20AAC13-DA10-5440-F923-AA666A2AFA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81730" y="1960263"/>
          <a:ext cx="347087" cy="340232"/>
        </a:xfrm>
        <a:prstGeom prst="rect">
          <a:avLst/>
        </a:prstGeom>
      </xdr:spPr>
    </xdr:pic>
    <xdr:clientData/>
  </xdr:twoCellAnchor>
  <xdr:twoCellAnchor editAs="oneCell">
    <xdr:from>
      <xdr:col>0</xdr:col>
      <xdr:colOff>385279</xdr:colOff>
      <xdr:row>5</xdr:row>
      <xdr:rowOff>21403</xdr:rowOff>
    </xdr:from>
    <xdr:to>
      <xdr:col>2</xdr:col>
      <xdr:colOff>43949</xdr:colOff>
      <xdr:row>9</xdr:row>
      <xdr:rowOff>150971</xdr:rowOff>
    </xdr:to>
    <xdr:pic>
      <xdr:nvPicPr>
        <xdr:cNvPr id="12" name="Graphic 11" descr="Home with solid fill">
          <a:extLst>
            <a:ext uri="{FF2B5EF4-FFF2-40B4-BE49-F238E27FC236}">
              <a16:creationId xmlns:a16="http://schemas.microsoft.com/office/drawing/2014/main" id="{50098467-0D92-D3A4-90BF-B36548F2CD3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85279" y="948931"/>
          <a:ext cx="871591" cy="871591"/>
        </a:xfrm>
        <a:prstGeom prst="rect">
          <a:avLst/>
        </a:prstGeom>
      </xdr:spPr>
    </xdr:pic>
    <xdr:clientData/>
  </xdr:twoCellAnchor>
  <xdr:twoCellAnchor editAs="oneCell">
    <xdr:from>
      <xdr:col>5</xdr:col>
      <xdr:colOff>204171</xdr:colOff>
      <xdr:row>10</xdr:row>
      <xdr:rowOff>134478</xdr:rowOff>
    </xdr:from>
    <xdr:to>
      <xdr:col>5</xdr:col>
      <xdr:colOff>562053</xdr:colOff>
      <xdr:row>12</xdr:row>
      <xdr:rowOff>121348</xdr:rowOff>
    </xdr:to>
    <xdr:pic>
      <xdr:nvPicPr>
        <xdr:cNvPr id="36" name="Graphic 35" descr="Coins with solid fill">
          <a:extLst>
            <a:ext uri="{FF2B5EF4-FFF2-40B4-BE49-F238E27FC236}">
              <a16:creationId xmlns:a16="http://schemas.microsoft.com/office/drawing/2014/main" id="{A400106D-EAB6-A63B-4F60-4ED9B9CC252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65778" y="1948764"/>
          <a:ext cx="357882" cy="349727"/>
        </a:xfrm>
        <a:prstGeom prst="rect">
          <a:avLst/>
        </a:prstGeom>
      </xdr:spPr>
    </xdr:pic>
    <xdr:clientData/>
  </xdr:twoCellAnchor>
  <xdr:twoCellAnchor editAs="oneCell">
    <xdr:from>
      <xdr:col>8</xdr:col>
      <xdr:colOff>363102</xdr:colOff>
      <xdr:row>10</xdr:row>
      <xdr:rowOff>138972</xdr:rowOff>
    </xdr:from>
    <xdr:to>
      <xdr:col>9</xdr:col>
      <xdr:colOff>71715</xdr:colOff>
      <xdr:row>12</xdr:row>
      <xdr:rowOff>130053</xdr:rowOff>
    </xdr:to>
    <xdr:pic>
      <xdr:nvPicPr>
        <xdr:cNvPr id="46" name="Graphic 45" descr="Bar graph with upward trend with solid fill">
          <a:extLst>
            <a:ext uri="{FF2B5EF4-FFF2-40B4-BE49-F238E27FC236}">
              <a16:creationId xmlns:a16="http://schemas.microsoft.com/office/drawing/2014/main" id="{F7729381-1041-00DF-D2EB-B6758F19EE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265893" y="1984902"/>
          <a:ext cx="321462" cy="360267"/>
        </a:xfrm>
        <a:prstGeom prst="rect">
          <a:avLst/>
        </a:prstGeom>
      </xdr:spPr>
    </xdr:pic>
    <xdr:clientData/>
  </xdr:twoCellAnchor>
  <xdr:twoCellAnchor editAs="oneCell">
    <xdr:from>
      <xdr:col>11</xdr:col>
      <xdr:colOff>219716</xdr:colOff>
      <xdr:row>10</xdr:row>
      <xdr:rowOff>105940</xdr:rowOff>
    </xdr:from>
    <xdr:to>
      <xdr:col>11</xdr:col>
      <xdr:colOff>526513</xdr:colOff>
      <xdr:row>12</xdr:row>
      <xdr:rowOff>96050</xdr:rowOff>
    </xdr:to>
    <xdr:pic>
      <xdr:nvPicPr>
        <xdr:cNvPr id="50" name="Graphic 49" descr="Bar graph with downward trend with solid fill">
          <a:extLst>
            <a:ext uri="{FF2B5EF4-FFF2-40B4-BE49-F238E27FC236}">
              <a16:creationId xmlns:a16="http://schemas.microsoft.com/office/drawing/2014/main" id="{F21AFD25-B651-752C-1AC7-C32C1FDFF95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955252" y="1920226"/>
          <a:ext cx="306797" cy="352967"/>
        </a:xfrm>
        <a:prstGeom prst="rect">
          <a:avLst/>
        </a:prstGeom>
      </xdr:spPr>
    </xdr:pic>
    <xdr:clientData/>
  </xdr:twoCellAnchor>
  <xdr:twoCellAnchor editAs="oneCell">
    <xdr:from>
      <xdr:col>14</xdr:col>
      <xdr:colOff>108679</xdr:colOff>
      <xdr:row>10</xdr:row>
      <xdr:rowOff>131551</xdr:rowOff>
    </xdr:from>
    <xdr:to>
      <xdr:col>14</xdr:col>
      <xdr:colOff>395211</xdr:colOff>
      <xdr:row>12</xdr:row>
      <xdr:rowOff>81607</xdr:rowOff>
    </xdr:to>
    <xdr:pic>
      <xdr:nvPicPr>
        <xdr:cNvPr id="54" name="Graphic 53" descr="Question mark with solid fill">
          <a:extLst>
            <a:ext uri="{FF2B5EF4-FFF2-40B4-BE49-F238E27FC236}">
              <a16:creationId xmlns:a16="http://schemas.microsoft.com/office/drawing/2014/main" id="{DD10A428-B4DB-D3AC-93D6-FB8696FC51D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681179" y="1945837"/>
          <a:ext cx="286532" cy="312913"/>
        </a:xfrm>
        <a:prstGeom prst="rect">
          <a:avLst/>
        </a:prstGeom>
      </xdr:spPr>
    </xdr:pic>
    <xdr:clientData/>
  </xdr:twoCellAnchor>
  <xdr:twoCellAnchor editAs="oneCell">
    <xdr:from>
      <xdr:col>16</xdr:col>
      <xdr:colOff>475293</xdr:colOff>
      <xdr:row>10</xdr:row>
      <xdr:rowOff>93135</xdr:rowOff>
    </xdr:from>
    <xdr:to>
      <xdr:col>17</xdr:col>
      <xdr:colOff>233850</xdr:colOff>
      <xdr:row>12</xdr:row>
      <xdr:rowOff>107403</xdr:rowOff>
    </xdr:to>
    <xdr:pic>
      <xdr:nvPicPr>
        <xdr:cNvPr id="58" name="Graphic 57" descr="Coins with solid fill">
          <a:extLst>
            <a:ext uri="{FF2B5EF4-FFF2-40B4-BE49-F238E27FC236}">
              <a16:creationId xmlns:a16="http://schemas.microsoft.com/office/drawing/2014/main" id="{D7FA1D1F-5DE7-A23B-1865-242AC49F5CF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272436" y="1907421"/>
          <a:ext cx="370878" cy="377125"/>
        </a:xfrm>
        <a:prstGeom prst="rect">
          <a:avLst/>
        </a:prstGeom>
      </xdr:spPr>
    </xdr:pic>
    <xdr:clientData/>
  </xdr:twoCellAnchor>
  <xdr:twoCellAnchor>
    <xdr:from>
      <xdr:col>2</xdr:col>
      <xdr:colOff>420953</xdr:colOff>
      <xdr:row>40</xdr:row>
      <xdr:rowOff>73281</xdr:rowOff>
    </xdr:from>
    <xdr:to>
      <xdr:col>19</xdr:col>
      <xdr:colOff>231510</xdr:colOff>
      <xdr:row>51</xdr:row>
      <xdr:rowOff>59308</xdr:rowOff>
    </xdr:to>
    <xdr:graphicFrame macro="">
      <xdr:nvGraphicFramePr>
        <xdr:cNvPr id="48" name="Chart 47">
          <a:extLst>
            <a:ext uri="{FF2B5EF4-FFF2-40B4-BE49-F238E27FC236}">
              <a16:creationId xmlns:a16="http://schemas.microsoft.com/office/drawing/2014/main" id="{2C2AA24B-C45F-4615-BB92-3E60B6FB1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98961</xdr:colOff>
      <xdr:row>28</xdr:row>
      <xdr:rowOff>74221</xdr:rowOff>
    </xdr:from>
    <xdr:to>
      <xdr:col>19</xdr:col>
      <xdr:colOff>260801</xdr:colOff>
      <xdr:row>40</xdr:row>
      <xdr:rowOff>13230</xdr:rowOff>
    </xdr:to>
    <xdr:sp macro="" textlink="">
      <xdr:nvSpPr>
        <xdr:cNvPr id="5" name="Rectangle: Rounded Corners 4">
          <a:extLst>
            <a:ext uri="{FF2B5EF4-FFF2-40B4-BE49-F238E27FC236}">
              <a16:creationId xmlns:a16="http://schemas.microsoft.com/office/drawing/2014/main" id="{D70BDED3-5176-DBD2-1964-87A3D58E6B6B}"/>
            </a:ext>
          </a:extLst>
        </xdr:cNvPr>
        <xdr:cNvSpPr/>
      </xdr:nvSpPr>
      <xdr:spPr>
        <a:xfrm>
          <a:off x="8642597" y="5154221"/>
          <a:ext cx="3213139" cy="2116152"/>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62880</xdr:colOff>
      <xdr:row>29</xdr:row>
      <xdr:rowOff>123700</xdr:rowOff>
    </xdr:from>
    <xdr:to>
      <xdr:col>18</xdr:col>
      <xdr:colOff>85558</xdr:colOff>
      <xdr:row>31</xdr:row>
      <xdr:rowOff>32986</xdr:rowOff>
    </xdr:to>
    <xdr:sp macro="" textlink="">
      <xdr:nvSpPr>
        <xdr:cNvPr id="3" name="TextBox 2">
          <a:extLst>
            <a:ext uri="{FF2B5EF4-FFF2-40B4-BE49-F238E27FC236}">
              <a16:creationId xmlns:a16="http://schemas.microsoft.com/office/drawing/2014/main" id="{A2DDEC61-B13A-46AA-FC33-9FAE4B8B6E4E}"/>
            </a:ext>
          </a:extLst>
        </xdr:cNvPr>
        <xdr:cNvSpPr txBox="1"/>
      </xdr:nvSpPr>
      <xdr:spPr>
        <a:xfrm>
          <a:off x="9216776" y="5385129"/>
          <a:ext cx="1853457" cy="272143"/>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1"/>
              </a:solidFill>
            </a:rPr>
            <a:t>KEY INSIGHTS:</a:t>
          </a:r>
        </a:p>
        <a:p>
          <a:pPr algn="ctr"/>
          <a:endParaRPr lang="en-NG" sz="1200" b="1"/>
        </a:p>
      </xdr:txBody>
    </xdr:sp>
    <xdr:clientData/>
  </xdr:twoCellAnchor>
  <xdr:twoCellAnchor>
    <xdr:from>
      <xdr:col>2</xdr:col>
      <xdr:colOff>379352</xdr:colOff>
      <xdr:row>15</xdr:row>
      <xdr:rowOff>164935</xdr:rowOff>
    </xdr:from>
    <xdr:to>
      <xdr:col>7</xdr:col>
      <xdr:colOff>569027</xdr:colOff>
      <xdr:row>27</xdr:row>
      <xdr:rowOff>57728</xdr:rowOff>
    </xdr:to>
    <xdr:graphicFrame macro="">
      <xdr:nvGraphicFramePr>
        <xdr:cNvPr id="52" name="Chart 51">
          <a:extLst>
            <a:ext uri="{FF2B5EF4-FFF2-40B4-BE49-F238E27FC236}">
              <a16:creationId xmlns:a16="http://schemas.microsoft.com/office/drawing/2014/main" id="{843AA855-DE17-4732-83D0-4A19117A8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107208</xdr:colOff>
      <xdr:row>16</xdr:row>
      <xdr:rowOff>8247</xdr:rowOff>
    </xdr:from>
    <xdr:to>
      <xdr:col>13</xdr:col>
      <xdr:colOff>437077</xdr:colOff>
      <xdr:row>27</xdr:row>
      <xdr:rowOff>115455</xdr:rowOff>
    </xdr:to>
    <xdr:graphicFrame macro="">
      <xdr:nvGraphicFramePr>
        <xdr:cNvPr id="53" name="Chart 52">
          <a:extLst>
            <a:ext uri="{FF2B5EF4-FFF2-40B4-BE49-F238E27FC236}">
              <a16:creationId xmlns:a16="http://schemas.microsoft.com/office/drawing/2014/main" id="{4BBAFA7E-21E6-435E-B07A-629F9392D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173180</xdr:colOff>
      <xdr:row>28</xdr:row>
      <xdr:rowOff>107207</xdr:rowOff>
    </xdr:from>
    <xdr:to>
      <xdr:col>13</xdr:col>
      <xdr:colOff>511298</xdr:colOff>
      <xdr:row>39</xdr:row>
      <xdr:rowOff>123702</xdr:rowOff>
    </xdr:to>
    <xdr:graphicFrame macro="">
      <xdr:nvGraphicFramePr>
        <xdr:cNvPr id="55" name="Chart 54">
          <a:extLst>
            <a:ext uri="{FF2B5EF4-FFF2-40B4-BE49-F238E27FC236}">
              <a16:creationId xmlns:a16="http://schemas.microsoft.com/office/drawing/2014/main" id="{376961D6-27A6-470D-A0F1-0F7B512AC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544286</xdr:colOff>
      <xdr:row>16</xdr:row>
      <xdr:rowOff>47621</xdr:rowOff>
    </xdr:from>
    <xdr:to>
      <xdr:col>19</xdr:col>
      <xdr:colOff>240776</xdr:colOff>
      <xdr:row>27</xdr:row>
      <xdr:rowOff>98961</xdr:rowOff>
    </xdr:to>
    <xdr:graphicFrame macro="">
      <xdr:nvGraphicFramePr>
        <xdr:cNvPr id="56" name="Chart 55">
          <a:extLst>
            <a:ext uri="{FF2B5EF4-FFF2-40B4-BE49-F238E27FC236}">
              <a16:creationId xmlns:a16="http://schemas.microsoft.com/office/drawing/2014/main" id="{86A59672-EC26-49C0-91CF-CC0566543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371104</xdr:colOff>
      <xdr:row>28</xdr:row>
      <xdr:rowOff>115456</xdr:rowOff>
    </xdr:from>
    <xdr:to>
      <xdr:col>8</xdr:col>
      <xdr:colOff>16493</xdr:colOff>
      <xdr:row>39</xdr:row>
      <xdr:rowOff>87746</xdr:rowOff>
    </xdr:to>
    <xdr:graphicFrame macro="">
      <xdr:nvGraphicFramePr>
        <xdr:cNvPr id="57" name="Chart 56">
          <a:extLst>
            <a:ext uri="{FF2B5EF4-FFF2-40B4-BE49-F238E27FC236}">
              <a16:creationId xmlns:a16="http://schemas.microsoft.com/office/drawing/2014/main" id="{EA2B97B8-26B6-421E-9BDC-0D000C9DA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91208</xdr:colOff>
      <xdr:row>24</xdr:row>
      <xdr:rowOff>87085</xdr:rowOff>
    </xdr:from>
    <xdr:to>
      <xdr:col>23</xdr:col>
      <xdr:colOff>395348</xdr:colOff>
      <xdr:row>29</xdr:row>
      <xdr:rowOff>94342</xdr:rowOff>
    </xdr:to>
    <xdr:sp macro="" textlink="">
      <xdr:nvSpPr>
        <xdr:cNvPr id="4" name="TextBox 3">
          <a:extLst>
            <a:ext uri="{FF2B5EF4-FFF2-40B4-BE49-F238E27FC236}">
              <a16:creationId xmlns:a16="http://schemas.microsoft.com/office/drawing/2014/main" id="{22952FE5-FD1E-CD28-23D6-1D6A6707FA2C}"/>
            </a:ext>
          </a:extLst>
        </xdr:cNvPr>
        <xdr:cNvSpPr txBox="1"/>
      </xdr:nvSpPr>
      <xdr:spPr>
        <a:xfrm>
          <a:off x="13516922" y="4441371"/>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14</xdr:col>
      <xdr:colOff>189676</xdr:colOff>
      <xdr:row>31</xdr:row>
      <xdr:rowOff>164936</xdr:rowOff>
    </xdr:from>
    <xdr:to>
      <xdr:col>19</xdr:col>
      <xdr:colOff>173182</xdr:colOff>
      <xdr:row>38</xdr:row>
      <xdr:rowOff>115454</xdr:rowOff>
    </xdr:to>
    <xdr:sp macro="" textlink="">
      <xdr:nvSpPr>
        <xdr:cNvPr id="10" name="TextBox 9">
          <a:extLst>
            <a:ext uri="{FF2B5EF4-FFF2-40B4-BE49-F238E27FC236}">
              <a16:creationId xmlns:a16="http://schemas.microsoft.com/office/drawing/2014/main" id="{235D3C3A-83C3-E41A-D69A-D18FD3A72535}"/>
            </a:ext>
          </a:extLst>
        </xdr:cNvPr>
        <xdr:cNvSpPr txBox="1"/>
      </xdr:nvSpPr>
      <xdr:spPr>
        <a:xfrm>
          <a:off x="8733312" y="5789222"/>
          <a:ext cx="3034805" cy="1220518"/>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i="1">
              <a:solidFill>
                <a:schemeClr val="bg1"/>
              </a:solidFill>
              <a:latin typeface="+mn-lt"/>
            </a:rPr>
            <a:t>Pending employees are the largest group and account for a significant portion of the salary budget, while overall performance is generally strong and not influenced by age</a:t>
          </a:r>
          <a:r>
            <a:rPr lang="en-GB" sz="1200" b="1" i="1">
              <a:solidFill>
                <a:schemeClr val="accent2">
                  <a:lumMod val="75000"/>
                </a:schemeClr>
              </a:solidFill>
              <a:latin typeface="+mn-lt"/>
            </a:rPr>
            <a:t>.</a:t>
          </a:r>
          <a:endParaRPr lang="en-NG" sz="1200" b="1" i="1">
            <a:solidFill>
              <a:schemeClr val="accent2">
                <a:lumMod val="75000"/>
              </a:schemeClr>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8.389940856483" createdVersion="8" refreshedVersion="8" minRefreshableVersion="3" recordCount="1020" xr:uid="{72E21CCD-788B-4300-8D02-3D2B6B333F10}">
  <cacheSource type="worksheet">
    <worksheetSource ref="A1:R1021" sheet="Cleaned Data"/>
  </cacheSource>
  <cacheFields count="18">
    <cacheField name="Employee_ID" numFmtId="0">
      <sharedItems/>
    </cacheField>
    <cacheField name="First_Name" numFmtId="0">
      <sharedItems/>
    </cacheField>
    <cacheField name="Last_Name" numFmtId="0">
      <sharedItems/>
    </cacheField>
    <cacheField name="Full Name" numFmtId="0">
      <sharedItems/>
    </cacheField>
    <cacheField name="Age" numFmtId="1">
      <sharedItems containsSemiMixedTypes="0" containsString="0" containsNumber="1" containsInteger="1" minValue="25" maxValue="40" count="4">
        <n v="25"/>
        <n v="30"/>
        <n v="40"/>
        <n v="35"/>
      </sharedItems>
    </cacheField>
    <cacheField name="Department" numFmtId="0">
      <sharedItems containsBlank="1" count="7">
        <s v="Devops"/>
        <s v="Finance"/>
        <s v="Admin"/>
        <s v="Cloud Tech"/>
        <s v="Sales"/>
        <s v="Hr"/>
        <m u="1"/>
      </sharedItems>
    </cacheField>
    <cacheField name="Region" numFmtId="0">
      <sharedItems containsBlank="1" count="7">
        <s v="California"/>
        <s v="Texas"/>
        <s v="Nevada"/>
        <s v="Florida"/>
        <s v="New York"/>
        <s v="Illinois"/>
        <m u="1"/>
      </sharedItems>
    </cacheField>
    <cacheField name="Status" numFmtId="0">
      <sharedItems containsBlank="1" count="4">
        <s v="Active"/>
        <s v="Pending"/>
        <s v="Inactive"/>
        <m u="1"/>
      </sharedItems>
    </cacheField>
    <cacheField name="Join_date" numFmtId="14">
      <sharedItems/>
    </cacheField>
    <cacheField name="Years Spent" numFmtId="1">
      <sharedItems containsSemiMixedTypes="0" containsString="0" containsNumber="1" containsInteger="1" minValue="0" maxValue="5" count="6">
        <n v="4"/>
        <n v="5"/>
        <n v="2"/>
        <n v="3"/>
        <n v="1"/>
        <n v="0"/>
      </sharedItems>
    </cacheField>
    <cacheField name="Year" numFmtId="1">
      <sharedItems containsSemiMixedTypes="0" containsString="0" containsNumber="1" containsInteger="1" minValue="2020" maxValue="2024" count="5">
        <n v="2021"/>
        <n v="2020"/>
        <n v="2023"/>
        <n v="2022"/>
        <n v="2024"/>
      </sharedItems>
    </cacheField>
    <cacheField name="Salary" numFmtId="1">
      <sharedItems containsSemiMixedTypes="0" containsString="0" containsNumber="1" minValue="0" maxValue="119971.65"/>
    </cacheField>
    <cacheField name="Salary Band" numFmtId="0">
      <sharedItems containsBlank="1" count="4">
        <s v="Low"/>
        <s v="Medium"/>
        <s v="High"/>
        <m u="1"/>
      </sharedItems>
    </cacheField>
    <cacheField name="Email" numFmtId="0">
      <sharedItems/>
    </cacheField>
    <cacheField name="Phone" numFmtId="1">
      <sharedItems containsSemiMixedTypes="0" containsString="0" containsNumber="1" containsInteger="1" minValue="3896086" maxValue="9994973202"/>
    </cacheField>
    <cacheField name="Performance score" numFmtId="0">
      <sharedItems containsBlank="1" count="5">
        <s v="Average"/>
        <s v="Excellent"/>
        <s v="Good"/>
        <s v="Poor"/>
        <m u="1"/>
      </sharedItems>
    </cacheField>
    <cacheField name="Performance Grade" numFmtId="0">
      <sharedItems containsSemiMixedTypes="0" containsString="0" containsNumber="1" containsInteger="1" minValue="1" maxValue="4" count="4">
        <n v="2"/>
        <n v="4"/>
        <n v="3"/>
        <n v="1"/>
      </sharedItems>
    </cacheField>
    <cacheField name="Remote_Work" numFmtId="0">
      <sharedItems count="2">
        <s v="True"/>
        <s v="False"/>
      </sharedItems>
    </cacheField>
  </cacheFields>
  <extLst>
    <ext xmlns:x14="http://schemas.microsoft.com/office/spreadsheetml/2009/9/main" uri="{725AE2AE-9491-48be-B2B4-4EB974FC3084}">
      <x14:pivotCacheDefinition pivotCacheId="690320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s v="EMP1000"/>
    <s v="Bob"/>
    <s v="Davis"/>
    <s v="Bob Davis"/>
    <x v="0"/>
    <x v="0"/>
    <x v="0"/>
    <x v="0"/>
    <s v="04/02/2021"/>
    <x v="0"/>
    <x v="0"/>
    <n v="59767.65"/>
    <x v="0"/>
    <s v="Bob.Davis@Example.Com"/>
    <n v="1651623197"/>
    <x v="0"/>
    <x v="0"/>
    <x v="0"/>
  </r>
  <r>
    <s v="EMP1001"/>
    <s v="Bob"/>
    <s v="Brown"/>
    <s v="Bob Brown"/>
    <x v="1"/>
    <x v="1"/>
    <x v="1"/>
    <x v="0"/>
    <s v="07/10/2020"/>
    <x v="1"/>
    <x v="1"/>
    <n v="65304.66"/>
    <x v="1"/>
    <s v="Bob.Brown@Example.Com"/>
    <n v="1898471390"/>
    <x v="1"/>
    <x v="1"/>
    <x v="0"/>
  </r>
  <r>
    <s v="EMP1002"/>
    <s v="Alice"/>
    <s v="Jones"/>
    <s v="Alice Jones"/>
    <x v="1"/>
    <x v="2"/>
    <x v="2"/>
    <x v="1"/>
    <s v="12/07/2023"/>
    <x v="2"/>
    <x v="2"/>
    <n v="88145.9"/>
    <x v="2"/>
    <s v="Alice.Jones@Example.Com"/>
    <n v="5596363211"/>
    <x v="2"/>
    <x v="2"/>
    <x v="0"/>
  </r>
  <r>
    <s v="EMP1003"/>
    <s v="Eva"/>
    <s v="Davis"/>
    <s v="Eva Davis"/>
    <x v="0"/>
    <x v="2"/>
    <x v="2"/>
    <x v="2"/>
    <s v="27/11/2021"/>
    <x v="3"/>
    <x v="0"/>
    <n v="69450.990000000005"/>
    <x v="1"/>
    <s v="Eva.Davis@Example.Com"/>
    <n v="3476490784"/>
    <x v="2"/>
    <x v="2"/>
    <x v="0"/>
  </r>
  <r>
    <s v="EMP1004"/>
    <s v="Frank"/>
    <s v="Williams"/>
    <s v="Frank Williams"/>
    <x v="0"/>
    <x v="3"/>
    <x v="3"/>
    <x v="0"/>
    <s v="01/05/2022"/>
    <x v="3"/>
    <x v="3"/>
    <n v="109324.61"/>
    <x v="2"/>
    <s v="Frank.Williams@Example.Com"/>
    <n v="1586734256"/>
    <x v="3"/>
    <x v="3"/>
    <x v="1"/>
  </r>
  <r>
    <s v="EMP1005"/>
    <s v="Alice"/>
    <s v="Garcia"/>
    <s v="Alice Garcia"/>
    <x v="2"/>
    <x v="4"/>
    <x v="1"/>
    <x v="2"/>
    <s v="06/10/2020"/>
    <x v="1"/>
    <x v="1"/>
    <n v="88642.84"/>
    <x v="2"/>
    <s v="Alice.Garcia@Example.Com"/>
    <n v="5409003485"/>
    <x v="2"/>
    <x v="2"/>
    <x v="1"/>
  </r>
  <r>
    <s v="EMP1006"/>
    <s v="Frank"/>
    <s v="Jones"/>
    <s v="Frank Jones"/>
    <x v="1"/>
    <x v="2"/>
    <x v="2"/>
    <x v="0"/>
    <s v="04/03/2020"/>
    <x v="1"/>
    <x v="1"/>
    <n v="96288.43"/>
    <x v="2"/>
    <s v="Frank.Jones@Example.Com"/>
    <n v="4518376063"/>
    <x v="2"/>
    <x v="2"/>
    <x v="1"/>
  </r>
  <r>
    <s v="EMP1007"/>
    <s v="Bob"/>
    <s v="Jones"/>
    <s v="Bob Jones"/>
    <x v="1"/>
    <x v="3"/>
    <x v="3"/>
    <x v="2"/>
    <s v="17/07/2022"/>
    <x v="3"/>
    <x v="3"/>
    <n v="94497.91"/>
    <x v="2"/>
    <s v="Bob.Jones@Example.Com"/>
    <n v="4134327559"/>
    <x v="0"/>
    <x v="0"/>
    <x v="0"/>
  </r>
  <r>
    <s v="EMP1008"/>
    <s v="Frank"/>
    <s v="Davis"/>
    <s v="Frank Davis"/>
    <x v="3"/>
    <x v="2"/>
    <x v="2"/>
    <x v="2"/>
    <s v="12/08/2023"/>
    <x v="2"/>
    <x v="2"/>
    <n v="115565.82"/>
    <x v="2"/>
    <s v="Frank.Davis@Example.Com"/>
    <n v="4177656123"/>
    <x v="1"/>
    <x v="1"/>
    <x v="0"/>
  </r>
  <r>
    <s v="EMP1009"/>
    <s v="Charlie"/>
    <s v="Johnson"/>
    <s v="Charlie Johnson"/>
    <x v="1"/>
    <x v="0"/>
    <x v="4"/>
    <x v="0"/>
    <s v="08/04/2022"/>
    <x v="3"/>
    <x v="3"/>
    <n v="76561.88"/>
    <x v="1"/>
    <s v="Charlie.Johnson@Example.Com"/>
    <n v="8156985699"/>
    <x v="1"/>
    <x v="1"/>
    <x v="0"/>
  </r>
  <r>
    <s v="EMP1010"/>
    <s v="David"/>
    <s v="Williams"/>
    <s v="David Williams"/>
    <x v="3"/>
    <x v="3"/>
    <x v="4"/>
    <x v="0"/>
    <s v="07/06/2024"/>
    <x v="4"/>
    <x v="4"/>
    <n v="72081.710000000006"/>
    <x v="1"/>
    <s v="David.Williams@Example.Com"/>
    <n v="2720634590"/>
    <x v="0"/>
    <x v="0"/>
    <x v="1"/>
  </r>
  <r>
    <s v="EMP1011"/>
    <s v="David"/>
    <s v="Davis"/>
    <s v="David Davis"/>
    <x v="1"/>
    <x v="0"/>
    <x v="0"/>
    <x v="0"/>
    <s v="09/04/2023"/>
    <x v="2"/>
    <x v="2"/>
    <n v="84946.19"/>
    <x v="1"/>
    <s v="David.Davis@Example.Com"/>
    <n v="1238296576"/>
    <x v="3"/>
    <x v="3"/>
    <x v="0"/>
  </r>
  <r>
    <s v="EMP1012"/>
    <s v="Heidi"/>
    <s v="Williams"/>
    <s v="Heidi Williams"/>
    <x v="1"/>
    <x v="5"/>
    <x v="4"/>
    <x v="0"/>
    <s v="03/05/2024"/>
    <x v="4"/>
    <x v="4"/>
    <n v="89295.77"/>
    <x v="2"/>
    <s v="Heidi.Williams@Example.Com"/>
    <n v="2429543164"/>
    <x v="1"/>
    <x v="1"/>
    <x v="1"/>
  </r>
  <r>
    <s v="EMP1013"/>
    <s v="Grace"/>
    <s v="Williams"/>
    <s v="Grace Williams"/>
    <x v="1"/>
    <x v="1"/>
    <x v="0"/>
    <x v="0"/>
    <s v="10/10/2020"/>
    <x v="1"/>
    <x v="1"/>
    <n v="85666.84"/>
    <x v="2"/>
    <s v="Grace.Williams@Example.Com"/>
    <n v="2669300892"/>
    <x v="2"/>
    <x v="2"/>
    <x v="1"/>
  </r>
  <r>
    <s v="EMP1014"/>
    <s v="Alice"/>
    <s v="Garcia"/>
    <s v="Alice Garcia"/>
    <x v="0"/>
    <x v="2"/>
    <x v="2"/>
    <x v="0"/>
    <s v="06/10/2024"/>
    <x v="4"/>
    <x v="4"/>
    <n v="97633.68"/>
    <x v="2"/>
    <s v="Alice.Garcia@Example.Com"/>
    <n v="1734206968"/>
    <x v="1"/>
    <x v="1"/>
    <x v="0"/>
  </r>
  <r>
    <s v="EMP1015"/>
    <s v="Grace"/>
    <s v="Jones"/>
    <s v="Grace Jones"/>
    <x v="2"/>
    <x v="4"/>
    <x v="3"/>
    <x v="1"/>
    <s v="29/05/2021"/>
    <x v="0"/>
    <x v="0"/>
    <n v="117975.49"/>
    <x v="2"/>
    <s v="Grace.Jones@Example.Com"/>
    <n v="4215291085"/>
    <x v="2"/>
    <x v="2"/>
    <x v="0"/>
  </r>
  <r>
    <s v="EMP1016"/>
    <s v="Alice"/>
    <s v="Brown"/>
    <s v="Alice Brown"/>
    <x v="0"/>
    <x v="0"/>
    <x v="5"/>
    <x v="2"/>
    <s v="23/04/2024"/>
    <x v="4"/>
    <x v="4"/>
    <n v="94867.33"/>
    <x v="2"/>
    <s v="Alice.Brown@Example.Com"/>
    <n v="7713334475"/>
    <x v="3"/>
    <x v="3"/>
    <x v="1"/>
  </r>
  <r>
    <s v="EMP1017"/>
    <s v="Grace"/>
    <s v="Garcia"/>
    <s v="Grace Garcia"/>
    <x v="1"/>
    <x v="1"/>
    <x v="1"/>
    <x v="1"/>
    <s v="28/11/2024"/>
    <x v="5"/>
    <x v="4"/>
    <n v="100377.65"/>
    <x v="2"/>
    <s v="Grace.Garcia@Example.Com"/>
    <n v="2639343625"/>
    <x v="0"/>
    <x v="0"/>
    <x v="0"/>
  </r>
  <r>
    <s v="EMP1018"/>
    <s v="Charlie"/>
    <s v="Garcia"/>
    <s v="Charlie Garcia"/>
    <x v="1"/>
    <x v="3"/>
    <x v="2"/>
    <x v="2"/>
    <s v="19/09/2024"/>
    <x v="4"/>
    <x v="4"/>
    <n v="94726.46"/>
    <x v="2"/>
    <s v="Charlie.Garcia@Example.Com"/>
    <n v="2044397358"/>
    <x v="1"/>
    <x v="1"/>
    <x v="1"/>
  </r>
  <r>
    <s v="EMP1019"/>
    <s v="Charlie"/>
    <s v="Williams"/>
    <s v="Charlie Williams"/>
    <x v="3"/>
    <x v="2"/>
    <x v="5"/>
    <x v="1"/>
    <s v="01/02/2020"/>
    <x v="1"/>
    <x v="1"/>
    <n v="91926.12"/>
    <x v="2"/>
    <s v="Charlie.Williams@Example.Com"/>
    <n v="7107256365"/>
    <x v="0"/>
    <x v="0"/>
    <x v="0"/>
  </r>
  <r>
    <s v="EMP1020"/>
    <s v="Bob"/>
    <s v="Miller"/>
    <s v="Bob Miller"/>
    <x v="3"/>
    <x v="5"/>
    <x v="4"/>
    <x v="0"/>
    <s v="05/08/2021"/>
    <x v="0"/>
    <x v="0"/>
    <n v="111460.67"/>
    <x v="2"/>
    <s v="Bob.Miller@Example.Com"/>
    <n v="9411800536"/>
    <x v="1"/>
    <x v="1"/>
    <x v="0"/>
  </r>
  <r>
    <s v="EMP1021"/>
    <s v="Bob"/>
    <s v="Jones"/>
    <s v="Bob Jones"/>
    <x v="2"/>
    <x v="3"/>
    <x v="5"/>
    <x v="0"/>
    <s v="19/09/2020"/>
    <x v="1"/>
    <x v="1"/>
    <n v="96182.56"/>
    <x v="2"/>
    <s v="Bob.Jones@Example.Com"/>
    <n v="5990048963"/>
    <x v="2"/>
    <x v="2"/>
    <x v="1"/>
  </r>
  <r>
    <s v="EMP1022"/>
    <s v="Charlie"/>
    <s v="Johnson"/>
    <s v="Charlie Johnson"/>
    <x v="3"/>
    <x v="4"/>
    <x v="5"/>
    <x v="2"/>
    <s v="03/09/2021"/>
    <x v="0"/>
    <x v="0"/>
    <n v="115023.94"/>
    <x v="2"/>
    <s v="Charlie.Johnson@Example.Com"/>
    <n v="6528092427"/>
    <x v="0"/>
    <x v="0"/>
    <x v="0"/>
  </r>
  <r>
    <s v="EMP1023"/>
    <s v="David"/>
    <s v="Garcia"/>
    <s v="David Garcia"/>
    <x v="3"/>
    <x v="1"/>
    <x v="2"/>
    <x v="1"/>
    <s v="02/03/2022"/>
    <x v="3"/>
    <x v="3"/>
    <n v="80667.009999999995"/>
    <x v="1"/>
    <s v="David.Garcia@Example.Com"/>
    <n v="7572158623"/>
    <x v="1"/>
    <x v="1"/>
    <x v="1"/>
  </r>
  <r>
    <s v="EMP1024"/>
    <s v="Bob"/>
    <s v="Brown"/>
    <s v="Bob Brown"/>
    <x v="1"/>
    <x v="2"/>
    <x v="1"/>
    <x v="2"/>
    <s v="13/02/2020"/>
    <x v="1"/>
    <x v="1"/>
    <n v="91181.61"/>
    <x v="2"/>
    <s v="Bob.Brown@Example.Com"/>
    <n v="1502745643"/>
    <x v="2"/>
    <x v="2"/>
    <x v="0"/>
  </r>
  <r>
    <s v="EMP1025"/>
    <s v="David"/>
    <s v="Miller"/>
    <s v="David Miller"/>
    <x v="0"/>
    <x v="3"/>
    <x v="2"/>
    <x v="1"/>
    <s v="30/04/2020"/>
    <x v="1"/>
    <x v="1"/>
    <n v="66025.919999999998"/>
    <x v="1"/>
    <s v="David.Miller@Example.Com"/>
    <n v="9485625727"/>
    <x v="0"/>
    <x v="0"/>
    <x v="1"/>
  </r>
  <r>
    <s v="EMP1026"/>
    <s v="Frank"/>
    <s v="Miller"/>
    <s v="Frank Miller"/>
    <x v="0"/>
    <x v="4"/>
    <x v="4"/>
    <x v="2"/>
    <s v="10/02/2023"/>
    <x v="2"/>
    <x v="2"/>
    <n v="83979.01"/>
    <x v="1"/>
    <s v="Frank.Miller@Example.Com"/>
    <n v="7032032073"/>
    <x v="0"/>
    <x v="0"/>
    <x v="1"/>
  </r>
  <r>
    <s v="EMP1027"/>
    <s v="Heidi"/>
    <s v="Johnson"/>
    <s v="Heidi Johnson"/>
    <x v="1"/>
    <x v="1"/>
    <x v="3"/>
    <x v="0"/>
    <s v="07/12/2020"/>
    <x v="0"/>
    <x v="1"/>
    <n v="56785.16"/>
    <x v="0"/>
    <s v="Heidi.Johnson@Example.Com"/>
    <n v="2761707586"/>
    <x v="1"/>
    <x v="1"/>
    <x v="0"/>
  </r>
  <r>
    <s v="EMP1028"/>
    <s v="Grace"/>
    <s v="Garcia"/>
    <s v="Grace Garcia"/>
    <x v="2"/>
    <x v="1"/>
    <x v="2"/>
    <x v="0"/>
    <s v="10/11/2023"/>
    <x v="2"/>
    <x v="2"/>
    <n v="95741.88"/>
    <x v="2"/>
    <s v="Grace.Garcia@Example.Com"/>
    <n v="7712151341"/>
    <x v="1"/>
    <x v="1"/>
    <x v="1"/>
  </r>
  <r>
    <s v="EMP1029"/>
    <s v="Alice"/>
    <s v="Brown"/>
    <s v="Alice Brown"/>
    <x v="2"/>
    <x v="0"/>
    <x v="0"/>
    <x v="0"/>
    <s v="24/05/2021"/>
    <x v="0"/>
    <x v="0"/>
    <n v="63411.31"/>
    <x v="1"/>
    <s v="Alice.Brown@Example.Com"/>
    <n v="2849939088"/>
    <x v="1"/>
    <x v="1"/>
    <x v="0"/>
  </r>
  <r>
    <s v="EMP1030"/>
    <s v="Charlie"/>
    <s v="Jones"/>
    <s v="Charlie Jones"/>
    <x v="2"/>
    <x v="2"/>
    <x v="0"/>
    <x v="2"/>
    <s v="26/05/2021"/>
    <x v="0"/>
    <x v="0"/>
    <n v="111214.02"/>
    <x v="2"/>
    <s v="Charlie.Jones@Example.Com"/>
    <n v="2613715040"/>
    <x v="2"/>
    <x v="2"/>
    <x v="0"/>
  </r>
  <r>
    <s v="EMP1031"/>
    <s v="Bob"/>
    <s v="Smith"/>
    <s v="Bob Smith"/>
    <x v="0"/>
    <x v="0"/>
    <x v="5"/>
    <x v="0"/>
    <s v="07/10/2020"/>
    <x v="1"/>
    <x v="1"/>
    <n v="114845.69"/>
    <x v="2"/>
    <s v="Bob.Smith@Example.Com"/>
    <n v="6591520176"/>
    <x v="1"/>
    <x v="1"/>
    <x v="0"/>
  </r>
  <r>
    <s v="EMP1032"/>
    <s v="Charlie"/>
    <s v="Brown"/>
    <s v="Charlie Brown"/>
    <x v="2"/>
    <x v="1"/>
    <x v="3"/>
    <x v="0"/>
    <s v="11/05/2024"/>
    <x v="4"/>
    <x v="4"/>
    <n v="78072.820000000007"/>
    <x v="1"/>
    <s v="Charlie.Brown@Example.Com"/>
    <n v="7490509758"/>
    <x v="0"/>
    <x v="0"/>
    <x v="1"/>
  </r>
  <r>
    <s v="EMP1033"/>
    <s v="Grace"/>
    <s v="Johnson"/>
    <s v="Grace Johnson"/>
    <x v="0"/>
    <x v="1"/>
    <x v="0"/>
    <x v="2"/>
    <s v="08/07/2021"/>
    <x v="0"/>
    <x v="0"/>
    <n v="79610.52"/>
    <x v="1"/>
    <s v="Grace.Johnson@Example.Com"/>
    <n v="2304501895"/>
    <x v="0"/>
    <x v="0"/>
    <x v="1"/>
  </r>
  <r>
    <s v="EMP1034"/>
    <s v="Heidi"/>
    <s v="Miller"/>
    <s v="Heidi Miller"/>
    <x v="1"/>
    <x v="2"/>
    <x v="0"/>
    <x v="0"/>
    <s v="29/04/2020"/>
    <x v="1"/>
    <x v="1"/>
    <n v="90542.62"/>
    <x v="2"/>
    <s v="Heidi.Miller@Example.Com"/>
    <n v="1642361031"/>
    <x v="1"/>
    <x v="1"/>
    <x v="0"/>
  </r>
  <r>
    <s v="EMP1035"/>
    <s v="Frank"/>
    <s v="Jones"/>
    <s v="Frank Jones"/>
    <x v="0"/>
    <x v="3"/>
    <x v="5"/>
    <x v="2"/>
    <s v="26/10/2022"/>
    <x v="3"/>
    <x v="3"/>
    <n v="114357.1"/>
    <x v="2"/>
    <s v="Frank.Jones@Example.Com"/>
    <n v="6642147648"/>
    <x v="1"/>
    <x v="1"/>
    <x v="0"/>
  </r>
  <r>
    <s v="EMP1036"/>
    <s v="Alice"/>
    <s v="Brown"/>
    <s v="Alice Brown"/>
    <x v="1"/>
    <x v="3"/>
    <x v="4"/>
    <x v="0"/>
    <s v="05/03/2023"/>
    <x v="2"/>
    <x v="2"/>
    <n v="54757.26"/>
    <x v="0"/>
    <s v="Alice.Brown@Example.Com"/>
    <n v="2515837766"/>
    <x v="3"/>
    <x v="3"/>
    <x v="1"/>
  </r>
  <r>
    <s v="EMP1037"/>
    <s v="Grace"/>
    <s v="Smith"/>
    <s v="Grace Smith"/>
    <x v="0"/>
    <x v="4"/>
    <x v="4"/>
    <x v="1"/>
    <s v="05/02/2023"/>
    <x v="2"/>
    <x v="2"/>
    <n v="52781.919999999998"/>
    <x v="0"/>
    <s v="Grace.Smith@Example.Com"/>
    <n v="4996165925"/>
    <x v="0"/>
    <x v="0"/>
    <x v="0"/>
  </r>
  <r>
    <s v="EMP1038"/>
    <s v="Frank"/>
    <s v="Smith"/>
    <s v="Frank Smith"/>
    <x v="3"/>
    <x v="2"/>
    <x v="2"/>
    <x v="1"/>
    <s v="10/05/2021"/>
    <x v="0"/>
    <x v="0"/>
    <n v="66708.02"/>
    <x v="1"/>
    <s v="Frank.Smith@Example.Com"/>
    <n v="6108573277"/>
    <x v="2"/>
    <x v="2"/>
    <x v="0"/>
  </r>
  <r>
    <s v="EMP1039"/>
    <s v="Eva"/>
    <s v="Williams"/>
    <s v="Eva Williams"/>
    <x v="2"/>
    <x v="5"/>
    <x v="1"/>
    <x v="0"/>
    <s v="27/07/2022"/>
    <x v="3"/>
    <x v="3"/>
    <n v="93481.15"/>
    <x v="2"/>
    <s v="Eva.Williams@Example.Com"/>
    <n v="8147617421"/>
    <x v="3"/>
    <x v="3"/>
    <x v="1"/>
  </r>
  <r>
    <s v="EMP1040"/>
    <s v="Bob"/>
    <s v="Williams"/>
    <s v="Bob Williams"/>
    <x v="0"/>
    <x v="4"/>
    <x v="4"/>
    <x v="1"/>
    <s v="27/06/2021"/>
    <x v="0"/>
    <x v="0"/>
    <n v="59271.96"/>
    <x v="0"/>
    <s v="Bob.Williams@Example.Com"/>
    <n v="4386490809"/>
    <x v="1"/>
    <x v="1"/>
    <x v="0"/>
  </r>
  <r>
    <s v="EMP1041"/>
    <s v="Bob"/>
    <s v="Davis"/>
    <s v="Bob Davis"/>
    <x v="1"/>
    <x v="5"/>
    <x v="0"/>
    <x v="0"/>
    <s v="16/06/2022"/>
    <x v="3"/>
    <x v="3"/>
    <n v="108362.15"/>
    <x v="2"/>
    <s v="Bob.Davis@Example.Com"/>
    <n v="8186617944"/>
    <x v="1"/>
    <x v="1"/>
    <x v="1"/>
  </r>
  <r>
    <s v="EMP1042"/>
    <s v="Alice"/>
    <s v="Johnson"/>
    <s v="Alice Johnson"/>
    <x v="1"/>
    <x v="5"/>
    <x v="2"/>
    <x v="0"/>
    <s v="12/03/2024"/>
    <x v="4"/>
    <x v="4"/>
    <n v="59400.38"/>
    <x v="0"/>
    <s v="Alice.Johnson@Example.Com"/>
    <n v="4918017225"/>
    <x v="0"/>
    <x v="0"/>
    <x v="0"/>
  </r>
  <r>
    <s v="EMP1043"/>
    <s v="Bob"/>
    <s v="Garcia"/>
    <s v="Bob Garcia"/>
    <x v="1"/>
    <x v="2"/>
    <x v="0"/>
    <x v="2"/>
    <s v="23/05/2023"/>
    <x v="2"/>
    <x v="2"/>
    <n v="64744.08"/>
    <x v="1"/>
    <s v="Bob.Garcia@Example.Com"/>
    <n v="164597793"/>
    <x v="1"/>
    <x v="1"/>
    <x v="1"/>
  </r>
  <r>
    <s v="EMP1044"/>
    <s v="Eva"/>
    <s v="Brown"/>
    <s v="Eva Brown"/>
    <x v="1"/>
    <x v="1"/>
    <x v="0"/>
    <x v="0"/>
    <s v="07/08/2020"/>
    <x v="1"/>
    <x v="1"/>
    <n v="94399.91"/>
    <x v="2"/>
    <s v="Eva.Brown@Example.Com"/>
    <n v="5232194167"/>
    <x v="2"/>
    <x v="2"/>
    <x v="0"/>
  </r>
  <r>
    <s v="EMP1045"/>
    <s v="Alice"/>
    <s v="Brown"/>
    <s v="Alice Brown"/>
    <x v="0"/>
    <x v="5"/>
    <x v="4"/>
    <x v="1"/>
    <s v="20/06/2021"/>
    <x v="0"/>
    <x v="0"/>
    <n v="61310.74"/>
    <x v="1"/>
    <s v="Alice.Brown@Example.Com"/>
    <n v="61027768"/>
    <x v="0"/>
    <x v="0"/>
    <x v="0"/>
  </r>
  <r>
    <s v="EMP1046"/>
    <s v="Grace"/>
    <s v="Garcia"/>
    <s v="Grace Garcia"/>
    <x v="1"/>
    <x v="3"/>
    <x v="1"/>
    <x v="0"/>
    <s v="13/12/2024"/>
    <x v="5"/>
    <x v="4"/>
    <n v="98371.37"/>
    <x v="2"/>
    <s v="Grace.Garcia@Example.Com"/>
    <n v="7499564121"/>
    <x v="1"/>
    <x v="1"/>
    <x v="1"/>
  </r>
  <r>
    <s v="EMP1047"/>
    <s v="Alice"/>
    <s v="Davis"/>
    <s v="Alice Davis"/>
    <x v="3"/>
    <x v="4"/>
    <x v="5"/>
    <x v="0"/>
    <s v="30/05/2022"/>
    <x v="3"/>
    <x v="3"/>
    <n v="58921.19"/>
    <x v="0"/>
    <s v="Alice.Davis@Example.Com"/>
    <n v="310303722"/>
    <x v="0"/>
    <x v="0"/>
    <x v="0"/>
  </r>
  <r>
    <s v="EMP1048"/>
    <s v="Alice"/>
    <s v="Miller"/>
    <s v="Alice Miller"/>
    <x v="3"/>
    <x v="2"/>
    <x v="2"/>
    <x v="0"/>
    <s v="27/09/2023"/>
    <x v="2"/>
    <x v="2"/>
    <n v="57195.55"/>
    <x v="0"/>
    <s v="Alice.Miller@Example.Com"/>
    <n v="6831472759"/>
    <x v="1"/>
    <x v="1"/>
    <x v="1"/>
  </r>
  <r>
    <s v="EMP1049"/>
    <s v="Grace"/>
    <s v="Miller"/>
    <s v="Grace Miller"/>
    <x v="1"/>
    <x v="0"/>
    <x v="4"/>
    <x v="0"/>
    <s v="11/05/2024"/>
    <x v="4"/>
    <x v="4"/>
    <n v="61375.12"/>
    <x v="1"/>
    <s v="Grace.Miller@Example.Com"/>
    <n v="1227770792"/>
    <x v="1"/>
    <x v="1"/>
    <x v="0"/>
  </r>
  <r>
    <s v="EMP1050"/>
    <s v="Charlie"/>
    <s v="Davis"/>
    <s v="Charlie Davis"/>
    <x v="2"/>
    <x v="3"/>
    <x v="4"/>
    <x v="1"/>
    <s v="11/11/2021"/>
    <x v="0"/>
    <x v="0"/>
    <n v="104767.05"/>
    <x v="2"/>
    <s v="Charlie.Davis@Example.Com"/>
    <n v="3496050165"/>
    <x v="1"/>
    <x v="1"/>
    <x v="1"/>
  </r>
  <r>
    <s v="EMP1051"/>
    <s v="David"/>
    <s v="Miller"/>
    <s v="David Miller"/>
    <x v="3"/>
    <x v="2"/>
    <x v="2"/>
    <x v="0"/>
    <s v="22/02/2022"/>
    <x v="3"/>
    <x v="3"/>
    <n v="111051.67"/>
    <x v="2"/>
    <s v="David.Miller@Example.Com"/>
    <n v="7998407677"/>
    <x v="2"/>
    <x v="2"/>
    <x v="1"/>
  </r>
  <r>
    <s v="EMP1052"/>
    <s v="David"/>
    <s v="Williams"/>
    <s v="David Williams"/>
    <x v="1"/>
    <x v="1"/>
    <x v="0"/>
    <x v="2"/>
    <s v="08/07/2024"/>
    <x v="4"/>
    <x v="4"/>
    <n v="105674.18"/>
    <x v="2"/>
    <s v="David.Williams@Example.Com"/>
    <n v="9973080694"/>
    <x v="2"/>
    <x v="2"/>
    <x v="1"/>
  </r>
  <r>
    <s v="EMP1053"/>
    <s v="Alice"/>
    <s v="Brown"/>
    <s v="Alice Brown"/>
    <x v="1"/>
    <x v="1"/>
    <x v="0"/>
    <x v="2"/>
    <s v="11/05/2024"/>
    <x v="4"/>
    <x v="4"/>
    <n v="54859.45"/>
    <x v="0"/>
    <s v="Alice.Brown@Example.Com"/>
    <n v="8146717956"/>
    <x v="0"/>
    <x v="0"/>
    <x v="1"/>
  </r>
  <r>
    <s v="EMP1054"/>
    <s v="Frank"/>
    <s v="Davis"/>
    <s v="Frank Davis"/>
    <x v="1"/>
    <x v="1"/>
    <x v="2"/>
    <x v="1"/>
    <s v="11/09/2021"/>
    <x v="0"/>
    <x v="0"/>
    <n v="115746.6"/>
    <x v="2"/>
    <s v="Frank.Davis@Example.Com"/>
    <n v="6024375737"/>
    <x v="1"/>
    <x v="1"/>
    <x v="0"/>
  </r>
  <r>
    <s v="EMP1055"/>
    <s v="Eva"/>
    <s v="Brown"/>
    <s v="Eva Brown"/>
    <x v="1"/>
    <x v="4"/>
    <x v="0"/>
    <x v="0"/>
    <s v="08/10/2020"/>
    <x v="1"/>
    <x v="1"/>
    <n v="91759.99"/>
    <x v="2"/>
    <s v="Eva.Brown@Example.Com"/>
    <n v="3959724664"/>
    <x v="1"/>
    <x v="1"/>
    <x v="0"/>
  </r>
  <r>
    <s v="EMP1056"/>
    <s v="Frank"/>
    <s v="Garcia"/>
    <s v="Frank Garcia"/>
    <x v="2"/>
    <x v="4"/>
    <x v="5"/>
    <x v="0"/>
    <s v="27/02/2022"/>
    <x v="3"/>
    <x v="3"/>
    <n v="112965.33"/>
    <x v="2"/>
    <s v="Frank.Garcia@Example.Com"/>
    <n v="7293417222"/>
    <x v="2"/>
    <x v="2"/>
    <x v="1"/>
  </r>
  <r>
    <s v="EMP1057"/>
    <s v="Alice"/>
    <s v="Smith"/>
    <s v="Alice Smith"/>
    <x v="2"/>
    <x v="3"/>
    <x v="5"/>
    <x v="1"/>
    <s v="11/07/2023"/>
    <x v="2"/>
    <x v="2"/>
    <n v="100360.1"/>
    <x v="2"/>
    <s v="Alice.Smith@Example.Com"/>
    <n v="2971674337"/>
    <x v="1"/>
    <x v="1"/>
    <x v="1"/>
  </r>
  <r>
    <s v="EMP1058"/>
    <s v="David"/>
    <s v="Williams"/>
    <s v="David Williams"/>
    <x v="3"/>
    <x v="1"/>
    <x v="1"/>
    <x v="1"/>
    <s v="11/07/2021"/>
    <x v="0"/>
    <x v="0"/>
    <n v="93620.88"/>
    <x v="2"/>
    <s v="David.Williams@Example.Com"/>
    <n v="54522800"/>
    <x v="2"/>
    <x v="2"/>
    <x v="1"/>
  </r>
  <r>
    <s v="EMP1059"/>
    <s v="Bob"/>
    <s v="Jones"/>
    <s v="Bob Jones"/>
    <x v="3"/>
    <x v="4"/>
    <x v="0"/>
    <x v="1"/>
    <s v="16/04/2022"/>
    <x v="3"/>
    <x v="3"/>
    <n v="72832.800000000003"/>
    <x v="1"/>
    <s v="Bob.Jones@Example.Com"/>
    <n v="5619318373"/>
    <x v="1"/>
    <x v="1"/>
    <x v="0"/>
  </r>
  <r>
    <s v="EMP1060"/>
    <s v="Charlie"/>
    <s v="Williams"/>
    <s v="Charlie Williams"/>
    <x v="1"/>
    <x v="1"/>
    <x v="2"/>
    <x v="2"/>
    <s v="19/10/2023"/>
    <x v="2"/>
    <x v="2"/>
    <n v="102369.42"/>
    <x v="2"/>
    <s v="Charlie.Williams@Example.Com"/>
    <n v="5508428909"/>
    <x v="0"/>
    <x v="0"/>
    <x v="0"/>
  </r>
  <r>
    <s v="EMP1061"/>
    <s v="Eva"/>
    <s v="Davis"/>
    <s v="Eva Davis"/>
    <x v="2"/>
    <x v="4"/>
    <x v="1"/>
    <x v="2"/>
    <s v="08/10/2021"/>
    <x v="0"/>
    <x v="0"/>
    <n v="64712.79"/>
    <x v="1"/>
    <s v="Eva.Davis@Example.Com"/>
    <n v="7711991807"/>
    <x v="1"/>
    <x v="1"/>
    <x v="0"/>
  </r>
  <r>
    <s v="EMP1062"/>
    <s v="Frank"/>
    <s v="Jones"/>
    <s v="Frank Jones"/>
    <x v="2"/>
    <x v="1"/>
    <x v="3"/>
    <x v="1"/>
    <s v="13/03/2021"/>
    <x v="0"/>
    <x v="0"/>
    <n v="85782.18"/>
    <x v="2"/>
    <s v="Frank.Jones@Example.Com"/>
    <n v="1213524786"/>
    <x v="1"/>
    <x v="1"/>
    <x v="0"/>
  </r>
  <r>
    <s v="EMP1063"/>
    <s v="Charlie"/>
    <s v="Smith"/>
    <s v="Charlie Smith"/>
    <x v="0"/>
    <x v="5"/>
    <x v="5"/>
    <x v="1"/>
    <s v="20/07/2023"/>
    <x v="2"/>
    <x v="2"/>
    <n v="93348.26"/>
    <x v="2"/>
    <s v="Charlie.Smith@Example.Com"/>
    <n v="1255213759"/>
    <x v="3"/>
    <x v="3"/>
    <x v="1"/>
  </r>
  <r>
    <s v="EMP1064"/>
    <s v="David"/>
    <s v="Davis"/>
    <s v="David Davis"/>
    <x v="3"/>
    <x v="2"/>
    <x v="4"/>
    <x v="0"/>
    <s v="20/02/2020"/>
    <x v="1"/>
    <x v="1"/>
    <n v="53234.96"/>
    <x v="0"/>
    <s v="David.Davis@Example.Com"/>
    <n v="3754821455"/>
    <x v="2"/>
    <x v="2"/>
    <x v="1"/>
  </r>
  <r>
    <s v="EMP1065"/>
    <s v="Bob"/>
    <s v="Johnson"/>
    <s v="Bob Johnson"/>
    <x v="2"/>
    <x v="1"/>
    <x v="2"/>
    <x v="1"/>
    <s v="02/02/2021"/>
    <x v="0"/>
    <x v="0"/>
    <n v="100284.21"/>
    <x v="2"/>
    <s v="Bob.Johnson@Example.Com"/>
    <n v="5328632665"/>
    <x v="1"/>
    <x v="1"/>
    <x v="1"/>
  </r>
  <r>
    <s v="EMP1066"/>
    <s v="Grace"/>
    <s v="Brown"/>
    <s v="Grace Brown"/>
    <x v="1"/>
    <x v="2"/>
    <x v="2"/>
    <x v="1"/>
    <s v="01/12/2020"/>
    <x v="0"/>
    <x v="1"/>
    <n v="112486.19"/>
    <x v="2"/>
    <s v="Grace.Brown@Example.Com"/>
    <n v="7850720810"/>
    <x v="1"/>
    <x v="1"/>
    <x v="0"/>
  </r>
  <r>
    <s v="EMP1067"/>
    <s v="Bob"/>
    <s v="Smith"/>
    <s v="Bob Smith"/>
    <x v="2"/>
    <x v="2"/>
    <x v="4"/>
    <x v="1"/>
    <s v="26/11/2022"/>
    <x v="2"/>
    <x v="3"/>
    <n v="82518.490000000005"/>
    <x v="1"/>
    <s v="Bob.Smith@Example.Com"/>
    <n v="5562606028"/>
    <x v="3"/>
    <x v="3"/>
    <x v="0"/>
  </r>
  <r>
    <s v="EMP1068"/>
    <s v="Bob"/>
    <s v="Brown"/>
    <s v="Bob Brown"/>
    <x v="2"/>
    <x v="2"/>
    <x v="3"/>
    <x v="1"/>
    <s v="23/12/2022"/>
    <x v="2"/>
    <x v="3"/>
    <n v="119152.47"/>
    <x v="2"/>
    <s v="Bob.Brown@Example.Com"/>
    <n v="846684549"/>
    <x v="3"/>
    <x v="3"/>
    <x v="0"/>
  </r>
  <r>
    <s v="EMP1069"/>
    <s v="Heidi"/>
    <s v="Miller"/>
    <s v="Heidi Miller"/>
    <x v="1"/>
    <x v="0"/>
    <x v="5"/>
    <x v="2"/>
    <s v="28/08/2024"/>
    <x v="4"/>
    <x v="4"/>
    <n v="113479.83"/>
    <x v="2"/>
    <s v="Heidi.Miller@Example.Com"/>
    <n v="4892673898"/>
    <x v="2"/>
    <x v="2"/>
    <x v="1"/>
  </r>
  <r>
    <s v="EMP1070"/>
    <s v="Charlie"/>
    <s v="Johnson"/>
    <s v="Charlie Johnson"/>
    <x v="2"/>
    <x v="1"/>
    <x v="0"/>
    <x v="0"/>
    <s v="16/09/2024"/>
    <x v="4"/>
    <x v="4"/>
    <n v="94636.3"/>
    <x v="2"/>
    <s v="Charlie.Johnson@Example.Com"/>
    <n v="7563410855"/>
    <x v="3"/>
    <x v="3"/>
    <x v="1"/>
  </r>
  <r>
    <s v="EMP1071"/>
    <s v="Heidi"/>
    <s v="Johnson"/>
    <s v="Heidi Johnson"/>
    <x v="1"/>
    <x v="5"/>
    <x v="3"/>
    <x v="0"/>
    <s v="01/01/2024"/>
    <x v="4"/>
    <x v="4"/>
    <n v="70000.97"/>
    <x v="1"/>
    <s v="Heidi.Johnson@Example.Com"/>
    <n v="2884318847"/>
    <x v="0"/>
    <x v="0"/>
    <x v="0"/>
  </r>
  <r>
    <s v="EMP1072"/>
    <s v="Frank"/>
    <s v="Smith"/>
    <s v="Frank Smith"/>
    <x v="1"/>
    <x v="3"/>
    <x v="4"/>
    <x v="0"/>
    <s v="18/04/2021"/>
    <x v="0"/>
    <x v="0"/>
    <n v="76812.47"/>
    <x v="1"/>
    <s v="Frank.Smith@Example.Com"/>
    <n v="5200894345"/>
    <x v="3"/>
    <x v="3"/>
    <x v="1"/>
  </r>
  <r>
    <s v="EMP1073"/>
    <s v="David"/>
    <s v="Johnson"/>
    <s v="David Johnson"/>
    <x v="0"/>
    <x v="1"/>
    <x v="3"/>
    <x v="2"/>
    <s v="16/01/2023"/>
    <x v="2"/>
    <x v="2"/>
    <n v="82614.7"/>
    <x v="1"/>
    <s v="David.Johnson@Example.Com"/>
    <n v="8105485100"/>
    <x v="0"/>
    <x v="0"/>
    <x v="0"/>
  </r>
  <r>
    <s v="EMP1074"/>
    <s v="Grace"/>
    <s v="Jones"/>
    <s v="Grace Jones"/>
    <x v="2"/>
    <x v="4"/>
    <x v="2"/>
    <x v="0"/>
    <s v="20/10/2024"/>
    <x v="4"/>
    <x v="4"/>
    <n v="111645.97"/>
    <x v="2"/>
    <s v="Grace.Jones@Example.Com"/>
    <n v="7490753997"/>
    <x v="2"/>
    <x v="2"/>
    <x v="0"/>
  </r>
  <r>
    <s v="EMP1075"/>
    <s v="Heidi"/>
    <s v="Johnson"/>
    <s v="Heidi Johnson"/>
    <x v="0"/>
    <x v="5"/>
    <x v="0"/>
    <x v="2"/>
    <s v="13/10/2024"/>
    <x v="4"/>
    <x v="4"/>
    <n v="112414.91"/>
    <x v="2"/>
    <s v="Heidi.Johnson@Example.Com"/>
    <n v="9354492682"/>
    <x v="2"/>
    <x v="2"/>
    <x v="1"/>
  </r>
  <r>
    <s v="EMP1076"/>
    <s v="David"/>
    <s v="Brown"/>
    <s v="David Brown"/>
    <x v="2"/>
    <x v="2"/>
    <x v="0"/>
    <x v="2"/>
    <s v="21/09/2022"/>
    <x v="3"/>
    <x v="3"/>
    <n v="52031.74"/>
    <x v="0"/>
    <s v="David.Brown@Example.Com"/>
    <n v="1589357125"/>
    <x v="2"/>
    <x v="2"/>
    <x v="0"/>
  </r>
  <r>
    <s v="EMP1077"/>
    <s v="Grace"/>
    <s v="Brown"/>
    <s v="Grace Brown"/>
    <x v="1"/>
    <x v="1"/>
    <x v="4"/>
    <x v="1"/>
    <s v="29/12/2022"/>
    <x v="2"/>
    <x v="3"/>
    <n v="51887.65"/>
    <x v="0"/>
    <s v="Grace.Brown@Example.Com"/>
    <n v="6110627370"/>
    <x v="2"/>
    <x v="2"/>
    <x v="1"/>
  </r>
  <r>
    <s v="EMP1078"/>
    <s v="Alice"/>
    <s v="Davis"/>
    <s v="Alice Davis"/>
    <x v="0"/>
    <x v="0"/>
    <x v="3"/>
    <x v="0"/>
    <s v="11/10/2024"/>
    <x v="4"/>
    <x v="4"/>
    <n v="82318.89"/>
    <x v="1"/>
    <s v="Alice.Davis@Example.Com"/>
    <n v="5869886496"/>
    <x v="2"/>
    <x v="2"/>
    <x v="0"/>
  </r>
  <r>
    <s v="EMP1079"/>
    <s v="Grace"/>
    <s v="Brown"/>
    <s v="Grace Brown"/>
    <x v="3"/>
    <x v="2"/>
    <x v="3"/>
    <x v="2"/>
    <s v="22/11/2021"/>
    <x v="0"/>
    <x v="0"/>
    <n v="103286.08"/>
    <x v="2"/>
    <s v="Grace.Brown@Example.Com"/>
    <n v="6776228276"/>
    <x v="0"/>
    <x v="0"/>
    <x v="1"/>
  </r>
  <r>
    <s v="EMP1080"/>
    <s v="Grace"/>
    <s v="Davis"/>
    <s v="Grace Davis"/>
    <x v="3"/>
    <x v="3"/>
    <x v="3"/>
    <x v="0"/>
    <s v="14/03/2024"/>
    <x v="4"/>
    <x v="4"/>
    <n v="87759.33"/>
    <x v="2"/>
    <s v="Grace.Davis@Example.Com"/>
    <n v="2881377027"/>
    <x v="0"/>
    <x v="0"/>
    <x v="1"/>
  </r>
  <r>
    <s v="EMP1081"/>
    <s v="Frank"/>
    <s v="Brown"/>
    <s v="Frank Brown"/>
    <x v="1"/>
    <x v="0"/>
    <x v="1"/>
    <x v="1"/>
    <s v="23/03/2020"/>
    <x v="1"/>
    <x v="1"/>
    <n v="102796.32"/>
    <x v="2"/>
    <s v="Frank.Brown@Example.Com"/>
    <n v="5196115939"/>
    <x v="2"/>
    <x v="2"/>
    <x v="1"/>
  </r>
  <r>
    <s v="EMP1082"/>
    <s v="David"/>
    <s v="Jones"/>
    <s v="David Jones"/>
    <x v="0"/>
    <x v="4"/>
    <x v="4"/>
    <x v="0"/>
    <s v="15/09/2020"/>
    <x v="1"/>
    <x v="1"/>
    <n v="83149.27"/>
    <x v="1"/>
    <s v="David.Jones@Example.Com"/>
    <n v="8215454469"/>
    <x v="3"/>
    <x v="3"/>
    <x v="0"/>
  </r>
  <r>
    <s v="EMP1083"/>
    <s v="David"/>
    <s v="Garcia"/>
    <s v="David Garcia"/>
    <x v="2"/>
    <x v="0"/>
    <x v="0"/>
    <x v="2"/>
    <s v="12/09/2020"/>
    <x v="1"/>
    <x v="1"/>
    <n v="92412.49"/>
    <x v="2"/>
    <s v="David.Garcia@Example.Com"/>
    <n v="2296044326"/>
    <x v="1"/>
    <x v="1"/>
    <x v="0"/>
  </r>
  <r>
    <s v="EMP1084"/>
    <s v="Bob"/>
    <s v="Davis"/>
    <s v="Bob Davis"/>
    <x v="1"/>
    <x v="5"/>
    <x v="1"/>
    <x v="1"/>
    <s v="22/02/2020"/>
    <x v="1"/>
    <x v="1"/>
    <n v="115022.1"/>
    <x v="2"/>
    <s v="Bob.Davis@Example.Com"/>
    <n v="185106793"/>
    <x v="2"/>
    <x v="2"/>
    <x v="1"/>
  </r>
  <r>
    <s v="EMP1085"/>
    <s v="Grace"/>
    <s v="Williams"/>
    <s v="Grace Williams"/>
    <x v="2"/>
    <x v="0"/>
    <x v="4"/>
    <x v="0"/>
    <s v="27/04/2023"/>
    <x v="2"/>
    <x v="2"/>
    <n v="98343.01"/>
    <x v="2"/>
    <s v="Grace.Williams@Example.Com"/>
    <n v="9756792286"/>
    <x v="3"/>
    <x v="3"/>
    <x v="1"/>
  </r>
  <r>
    <s v="EMP1086"/>
    <s v="Bob"/>
    <s v="Miller"/>
    <s v="Bob Miller"/>
    <x v="3"/>
    <x v="0"/>
    <x v="5"/>
    <x v="0"/>
    <s v="18/06/2024"/>
    <x v="4"/>
    <x v="4"/>
    <n v="118869.1"/>
    <x v="2"/>
    <s v="Bob.Miller@Example.Com"/>
    <n v="7725199662"/>
    <x v="1"/>
    <x v="1"/>
    <x v="0"/>
  </r>
  <r>
    <s v="EMP1087"/>
    <s v="Frank"/>
    <s v="Smith"/>
    <s v="Frank Smith"/>
    <x v="1"/>
    <x v="1"/>
    <x v="2"/>
    <x v="2"/>
    <s v="21/05/2020"/>
    <x v="1"/>
    <x v="1"/>
    <n v="85417.26"/>
    <x v="2"/>
    <s v="Frank.Smith@Example.Com"/>
    <n v="6580741208"/>
    <x v="2"/>
    <x v="2"/>
    <x v="0"/>
  </r>
  <r>
    <s v="EMP1088"/>
    <s v="Grace"/>
    <s v="Brown"/>
    <s v="Grace Brown"/>
    <x v="2"/>
    <x v="3"/>
    <x v="3"/>
    <x v="2"/>
    <s v="25/07/2023"/>
    <x v="2"/>
    <x v="2"/>
    <n v="112410.25"/>
    <x v="2"/>
    <s v="Grace.Brown@Example.Com"/>
    <n v="4818139889"/>
    <x v="2"/>
    <x v="2"/>
    <x v="0"/>
  </r>
  <r>
    <s v="EMP1089"/>
    <s v="Charlie"/>
    <s v="Johnson"/>
    <s v="Charlie Johnson"/>
    <x v="2"/>
    <x v="2"/>
    <x v="2"/>
    <x v="1"/>
    <s v="25/08/2023"/>
    <x v="2"/>
    <x v="2"/>
    <n v="68905.77"/>
    <x v="1"/>
    <s v="Charlie.Johnson@Example.Com"/>
    <n v="9837801819"/>
    <x v="0"/>
    <x v="0"/>
    <x v="1"/>
  </r>
  <r>
    <s v="EMP1090"/>
    <s v="Heidi"/>
    <s v="Garcia"/>
    <s v="Heidi Garcia"/>
    <x v="2"/>
    <x v="1"/>
    <x v="2"/>
    <x v="1"/>
    <s v="07/03/2021"/>
    <x v="0"/>
    <x v="0"/>
    <n v="72561.320000000007"/>
    <x v="1"/>
    <s v="Heidi.Garcia@Example.Com"/>
    <n v="4339718955"/>
    <x v="1"/>
    <x v="1"/>
    <x v="0"/>
  </r>
  <r>
    <s v="EMP1091"/>
    <s v="Bob"/>
    <s v="Brown"/>
    <s v="Bob Brown"/>
    <x v="3"/>
    <x v="1"/>
    <x v="4"/>
    <x v="2"/>
    <s v="13/03/2023"/>
    <x v="2"/>
    <x v="2"/>
    <n v="92723.22"/>
    <x v="2"/>
    <s v="Bob.Brown@Example.Com"/>
    <n v="9070562607"/>
    <x v="1"/>
    <x v="1"/>
    <x v="0"/>
  </r>
  <r>
    <s v="EMP1092"/>
    <s v="Alice"/>
    <s v="Johnson"/>
    <s v="Alice Johnson"/>
    <x v="2"/>
    <x v="5"/>
    <x v="4"/>
    <x v="2"/>
    <s v="03/10/2021"/>
    <x v="0"/>
    <x v="0"/>
    <n v="74837.75"/>
    <x v="1"/>
    <s v="Alice.Johnson@Example.Com"/>
    <n v="5641118241"/>
    <x v="3"/>
    <x v="3"/>
    <x v="1"/>
  </r>
  <r>
    <s v="EMP1093"/>
    <s v="Eva"/>
    <s v="Miller"/>
    <s v="Eva Miller"/>
    <x v="1"/>
    <x v="0"/>
    <x v="0"/>
    <x v="1"/>
    <s v="21/01/2020"/>
    <x v="1"/>
    <x v="1"/>
    <n v="86163.91"/>
    <x v="2"/>
    <s v="Eva.Miller@Example.Com"/>
    <n v="2412462094"/>
    <x v="0"/>
    <x v="0"/>
    <x v="0"/>
  </r>
  <r>
    <s v="EMP1094"/>
    <s v="David"/>
    <s v="Miller"/>
    <s v="David Miller"/>
    <x v="2"/>
    <x v="1"/>
    <x v="5"/>
    <x v="0"/>
    <s v="15/11/2023"/>
    <x v="2"/>
    <x v="2"/>
    <n v="83326.52"/>
    <x v="1"/>
    <s v="David.Miller@Example.Com"/>
    <n v="2004615264"/>
    <x v="0"/>
    <x v="0"/>
    <x v="0"/>
  </r>
  <r>
    <s v="EMP1095"/>
    <s v="Heidi"/>
    <s v="Miller"/>
    <s v="Heidi Miller"/>
    <x v="0"/>
    <x v="3"/>
    <x v="0"/>
    <x v="0"/>
    <s v="04/08/2022"/>
    <x v="3"/>
    <x v="3"/>
    <n v="98425.1"/>
    <x v="2"/>
    <s v="Heidi.Miller@Example.Com"/>
    <n v="4610339936"/>
    <x v="0"/>
    <x v="0"/>
    <x v="0"/>
  </r>
  <r>
    <s v="EMP1096"/>
    <s v="Frank"/>
    <s v="Johnson"/>
    <s v="Frank Johnson"/>
    <x v="2"/>
    <x v="4"/>
    <x v="5"/>
    <x v="2"/>
    <s v="21/05/2022"/>
    <x v="3"/>
    <x v="3"/>
    <n v="119764.2"/>
    <x v="2"/>
    <s v="Frank.Johnson@Example.Com"/>
    <n v="8861405785"/>
    <x v="0"/>
    <x v="0"/>
    <x v="1"/>
  </r>
  <r>
    <s v="EMP1097"/>
    <s v="Frank"/>
    <s v="Brown"/>
    <s v="Frank Brown"/>
    <x v="2"/>
    <x v="5"/>
    <x v="0"/>
    <x v="2"/>
    <s v="17/04/2021"/>
    <x v="0"/>
    <x v="0"/>
    <n v="58445.91"/>
    <x v="0"/>
    <s v="Frank.Brown@Example.Com"/>
    <n v="1706304890"/>
    <x v="1"/>
    <x v="1"/>
    <x v="1"/>
  </r>
  <r>
    <s v="EMP1098"/>
    <s v="Bob"/>
    <s v="Miller"/>
    <s v="Bob Miller"/>
    <x v="1"/>
    <x v="0"/>
    <x v="4"/>
    <x v="0"/>
    <s v="19/03/2021"/>
    <x v="0"/>
    <x v="0"/>
    <n v="101702.33"/>
    <x v="2"/>
    <s v="Bob.Miller@Example.Com"/>
    <n v="3824967182"/>
    <x v="1"/>
    <x v="1"/>
    <x v="1"/>
  </r>
  <r>
    <s v="EMP1099"/>
    <s v="Eva"/>
    <s v="Jones"/>
    <s v="Eva Jones"/>
    <x v="0"/>
    <x v="2"/>
    <x v="0"/>
    <x v="0"/>
    <s v="01/09/2022"/>
    <x v="3"/>
    <x v="3"/>
    <n v="0"/>
    <x v="0"/>
    <s v="Eva.Jones@Example.Com"/>
    <n v="2582386869"/>
    <x v="2"/>
    <x v="2"/>
    <x v="1"/>
  </r>
  <r>
    <s v="EMP1100"/>
    <s v="Charlie"/>
    <s v="Davis"/>
    <s v="Charlie Davis"/>
    <x v="3"/>
    <x v="3"/>
    <x v="1"/>
    <x v="1"/>
    <s v="21/08/2021"/>
    <x v="0"/>
    <x v="0"/>
    <n v="98819.22"/>
    <x v="2"/>
    <s v="Charlie.Davis@Example.Com"/>
    <n v="794200748"/>
    <x v="2"/>
    <x v="2"/>
    <x v="1"/>
  </r>
  <r>
    <s v="EMP1101"/>
    <s v="Heidi"/>
    <s v="Johnson"/>
    <s v="Heidi Johnson"/>
    <x v="0"/>
    <x v="3"/>
    <x v="5"/>
    <x v="2"/>
    <s v="19/08/2022"/>
    <x v="3"/>
    <x v="3"/>
    <n v="83509.990000000005"/>
    <x v="1"/>
    <s v="Heidi.Johnson@Example.Com"/>
    <n v="4653984027"/>
    <x v="0"/>
    <x v="0"/>
    <x v="1"/>
  </r>
  <r>
    <s v="EMP1102"/>
    <s v="Alice"/>
    <s v="Johnson"/>
    <s v="Alice Johnson"/>
    <x v="3"/>
    <x v="1"/>
    <x v="1"/>
    <x v="0"/>
    <s v="31/03/2022"/>
    <x v="3"/>
    <x v="3"/>
    <n v="84422.26"/>
    <x v="1"/>
    <s v="Alice.Johnson@Example.Com"/>
    <n v="9141612845"/>
    <x v="0"/>
    <x v="0"/>
    <x v="1"/>
  </r>
  <r>
    <s v="EMP1103"/>
    <s v="Alice"/>
    <s v="Brown"/>
    <s v="Alice Brown"/>
    <x v="1"/>
    <x v="2"/>
    <x v="5"/>
    <x v="2"/>
    <s v="23/06/2020"/>
    <x v="1"/>
    <x v="1"/>
    <n v="119574.27"/>
    <x v="2"/>
    <s v="Alice.Brown@Example.Com"/>
    <n v="3985547434"/>
    <x v="0"/>
    <x v="0"/>
    <x v="0"/>
  </r>
  <r>
    <s v="EMP1104"/>
    <s v="Grace"/>
    <s v="Johnson"/>
    <s v="Grace Johnson"/>
    <x v="1"/>
    <x v="4"/>
    <x v="5"/>
    <x v="0"/>
    <s v="05/07/2024"/>
    <x v="4"/>
    <x v="4"/>
    <n v="86580.08"/>
    <x v="2"/>
    <s v="Grace.Johnson@Example.Com"/>
    <n v="5379502096"/>
    <x v="2"/>
    <x v="2"/>
    <x v="0"/>
  </r>
  <r>
    <s v="EMP1105"/>
    <s v="Heidi"/>
    <s v="Johnson"/>
    <s v="Heidi Johnson"/>
    <x v="3"/>
    <x v="4"/>
    <x v="3"/>
    <x v="2"/>
    <s v="03/10/2023"/>
    <x v="2"/>
    <x v="2"/>
    <n v="93471.91"/>
    <x v="2"/>
    <s v="Heidi.Johnson@Example.Com"/>
    <n v="26876810"/>
    <x v="3"/>
    <x v="3"/>
    <x v="1"/>
  </r>
  <r>
    <s v="EMP1106"/>
    <s v="Bob"/>
    <s v="Miller"/>
    <s v="Bob Miller"/>
    <x v="1"/>
    <x v="0"/>
    <x v="4"/>
    <x v="2"/>
    <s v="14/09/2023"/>
    <x v="2"/>
    <x v="2"/>
    <n v="55683.12"/>
    <x v="0"/>
    <s v="Bob.Miller@Example.Com"/>
    <n v="8071569561"/>
    <x v="3"/>
    <x v="3"/>
    <x v="0"/>
  </r>
  <r>
    <s v="EMP1107"/>
    <s v="Bob"/>
    <s v="Brown"/>
    <s v="Bob Brown"/>
    <x v="1"/>
    <x v="3"/>
    <x v="3"/>
    <x v="2"/>
    <s v="11/12/2023"/>
    <x v="4"/>
    <x v="2"/>
    <n v="91566.78"/>
    <x v="2"/>
    <s v="Bob.Brown@Example.Com"/>
    <n v="175370303"/>
    <x v="2"/>
    <x v="2"/>
    <x v="0"/>
  </r>
  <r>
    <s v="EMP1108"/>
    <s v="David"/>
    <s v="Miller"/>
    <s v="David Miller"/>
    <x v="3"/>
    <x v="0"/>
    <x v="0"/>
    <x v="1"/>
    <s v="26/10/2024"/>
    <x v="4"/>
    <x v="4"/>
    <n v="81782.19"/>
    <x v="1"/>
    <s v="David.Miller@Example.Com"/>
    <n v="5319433749"/>
    <x v="2"/>
    <x v="2"/>
    <x v="1"/>
  </r>
  <r>
    <s v="EMP1109"/>
    <s v="Eva"/>
    <s v="Davis"/>
    <s v="Eva Davis"/>
    <x v="1"/>
    <x v="0"/>
    <x v="4"/>
    <x v="2"/>
    <s v="23/08/2020"/>
    <x v="1"/>
    <x v="1"/>
    <n v="88119.37"/>
    <x v="2"/>
    <s v="Eva.Davis@Example.Com"/>
    <n v="4793036148"/>
    <x v="2"/>
    <x v="2"/>
    <x v="0"/>
  </r>
  <r>
    <s v="EMP1110"/>
    <s v="Eva"/>
    <s v="Garcia"/>
    <s v="Eva Garcia"/>
    <x v="1"/>
    <x v="3"/>
    <x v="1"/>
    <x v="0"/>
    <s v="06/11/2024"/>
    <x v="4"/>
    <x v="4"/>
    <n v="71532.83"/>
    <x v="1"/>
    <s v="Eva.Garcia@Example.Com"/>
    <n v="8728399920"/>
    <x v="2"/>
    <x v="2"/>
    <x v="0"/>
  </r>
  <r>
    <s v="EMP1111"/>
    <s v="Eva"/>
    <s v="Davis"/>
    <s v="Eva Davis"/>
    <x v="2"/>
    <x v="3"/>
    <x v="3"/>
    <x v="1"/>
    <s v="14/09/2021"/>
    <x v="0"/>
    <x v="0"/>
    <n v="98981.36"/>
    <x v="2"/>
    <s v="Eva.Davis@Example.Com"/>
    <n v="9212493842"/>
    <x v="2"/>
    <x v="2"/>
    <x v="0"/>
  </r>
  <r>
    <s v="EMP1112"/>
    <s v="Heidi"/>
    <s v="Garcia"/>
    <s v="Heidi Garcia"/>
    <x v="2"/>
    <x v="3"/>
    <x v="5"/>
    <x v="0"/>
    <s v="26/12/2024"/>
    <x v="5"/>
    <x v="4"/>
    <n v="80242.009999999995"/>
    <x v="1"/>
    <s v="Heidi.Garcia@Example.Com"/>
    <n v="894870604"/>
    <x v="2"/>
    <x v="2"/>
    <x v="0"/>
  </r>
  <r>
    <s v="EMP1113"/>
    <s v="Eva"/>
    <s v="Miller"/>
    <s v="Eva Miller"/>
    <x v="0"/>
    <x v="3"/>
    <x v="4"/>
    <x v="1"/>
    <s v="09/08/2024"/>
    <x v="4"/>
    <x v="4"/>
    <n v="110236.18"/>
    <x v="2"/>
    <s v="Eva.Miller@Example.Com"/>
    <n v="6641877579"/>
    <x v="0"/>
    <x v="0"/>
    <x v="0"/>
  </r>
  <r>
    <s v="EMP1114"/>
    <s v="Alice"/>
    <s v="Davis"/>
    <s v="Alice Davis"/>
    <x v="3"/>
    <x v="4"/>
    <x v="1"/>
    <x v="0"/>
    <s v="21/08/2022"/>
    <x v="3"/>
    <x v="3"/>
    <n v="86327.47"/>
    <x v="2"/>
    <s v="Alice.Davis@Example.Com"/>
    <n v="3046875062"/>
    <x v="0"/>
    <x v="0"/>
    <x v="1"/>
  </r>
  <r>
    <s v="EMP1115"/>
    <s v="Eva"/>
    <s v="Brown"/>
    <s v="Eva Brown"/>
    <x v="1"/>
    <x v="4"/>
    <x v="3"/>
    <x v="1"/>
    <s v="25/07/2024"/>
    <x v="4"/>
    <x v="4"/>
    <n v="84420.81"/>
    <x v="1"/>
    <s v="Eva.Brown@Example.Com"/>
    <n v="5190361331"/>
    <x v="0"/>
    <x v="0"/>
    <x v="1"/>
  </r>
  <r>
    <s v="EMP1116"/>
    <s v="Frank"/>
    <s v="Smith"/>
    <s v="Frank Smith"/>
    <x v="2"/>
    <x v="5"/>
    <x v="0"/>
    <x v="1"/>
    <s v="08/02/2020"/>
    <x v="1"/>
    <x v="1"/>
    <n v="110041.32"/>
    <x v="2"/>
    <s v="Frank.Smith@Example.Com"/>
    <n v="5411076094"/>
    <x v="0"/>
    <x v="0"/>
    <x v="1"/>
  </r>
  <r>
    <s v="EMP1117"/>
    <s v="Heidi"/>
    <s v="Miller"/>
    <s v="Heidi Miller"/>
    <x v="3"/>
    <x v="0"/>
    <x v="3"/>
    <x v="1"/>
    <s v="16/03/2020"/>
    <x v="1"/>
    <x v="1"/>
    <n v="81837.81"/>
    <x v="1"/>
    <s v="Heidi.Miller@Example.Com"/>
    <n v="4317350582"/>
    <x v="2"/>
    <x v="2"/>
    <x v="0"/>
  </r>
  <r>
    <s v="EMP1118"/>
    <s v="Frank"/>
    <s v="Garcia"/>
    <s v="Frank Garcia"/>
    <x v="0"/>
    <x v="1"/>
    <x v="5"/>
    <x v="0"/>
    <s v="09/08/2023"/>
    <x v="2"/>
    <x v="2"/>
    <n v="110855.72"/>
    <x v="2"/>
    <s v="Frank.Garcia@Example.Com"/>
    <n v="1997179109"/>
    <x v="3"/>
    <x v="3"/>
    <x v="1"/>
  </r>
  <r>
    <s v="EMP1119"/>
    <s v="Alice"/>
    <s v="Jones"/>
    <s v="Alice Jones"/>
    <x v="1"/>
    <x v="4"/>
    <x v="0"/>
    <x v="1"/>
    <s v="29/03/2024"/>
    <x v="4"/>
    <x v="4"/>
    <n v="84894.52"/>
    <x v="1"/>
    <s v="Alice.Jones@Example.Com"/>
    <n v="651207048"/>
    <x v="1"/>
    <x v="1"/>
    <x v="0"/>
  </r>
  <r>
    <s v="EMP1120"/>
    <s v="Alice"/>
    <s v="Garcia"/>
    <s v="Alice Garcia"/>
    <x v="1"/>
    <x v="5"/>
    <x v="5"/>
    <x v="0"/>
    <s v="08/12/2021"/>
    <x v="3"/>
    <x v="0"/>
    <n v="80668.13"/>
    <x v="1"/>
    <s v="Alice.Garcia@Example.Com"/>
    <n v="6110804660"/>
    <x v="2"/>
    <x v="2"/>
    <x v="0"/>
  </r>
  <r>
    <s v="EMP1121"/>
    <s v="Bob"/>
    <s v="Jones"/>
    <s v="Bob Jones"/>
    <x v="0"/>
    <x v="0"/>
    <x v="5"/>
    <x v="0"/>
    <s v="24/12/2023"/>
    <x v="4"/>
    <x v="2"/>
    <n v="61086.47"/>
    <x v="1"/>
    <s v="Bob.Jones@Example.Com"/>
    <n v="9639907675"/>
    <x v="1"/>
    <x v="1"/>
    <x v="0"/>
  </r>
  <r>
    <s v="EMP1122"/>
    <s v="Grace"/>
    <s v="Johnson"/>
    <s v="Grace Johnson"/>
    <x v="0"/>
    <x v="2"/>
    <x v="1"/>
    <x v="2"/>
    <s v="28/08/2020"/>
    <x v="1"/>
    <x v="1"/>
    <n v="95339.68"/>
    <x v="2"/>
    <s v="Grace.Johnson@Example.Com"/>
    <n v="9915078592"/>
    <x v="3"/>
    <x v="3"/>
    <x v="0"/>
  </r>
  <r>
    <s v="EMP1123"/>
    <s v="Eva"/>
    <s v="Davis"/>
    <s v="Eva Davis"/>
    <x v="1"/>
    <x v="0"/>
    <x v="0"/>
    <x v="2"/>
    <s v="09/05/2024"/>
    <x v="4"/>
    <x v="4"/>
    <n v="83774.97"/>
    <x v="1"/>
    <s v="Eva.Davis@Example.Com"/>
    <n v="1109193927"/>
    <x v="0"/>
    <x v="0"/>
    <x v="1"/>
  </r>
  <r>
    <s v="EMP1124"/>
    <s v="Heidi"/>
    <s v="Jones"/>
    <s v="Heidi Jones"/>
    <x v="1"/>
    <x v="2"/>
    <x v="3"/>
    <x v="0"/>
    <s v="05/12/2023"/>
    <x v="4"/>
    <x v="2"/>
    <n v="85576.86"/>
    <x v="2"/>
    <s v="Heidi.Jones@Example.Com"/>
    <n v="4567972319"/>
    <x v="3"/>
    <x v="3"/>
    <x v="1"/>
  </r>
  <r>
    <s v="EMP1125"/>
    <s v="Bob"/>
    <s v="Garcia"/>
    <s v="Bob Garcia"/>
    <x v="3"/>
    <x v="1"/>
    <x v="0"/>
    <x v="1"/>
    <s v="07/01/2021"/>
    <x v="0"/>
    <x v="0"/>
    <n v="107438.46"/>
    <x v="2"/>
    <s v="Bob.Garcia@Example.Com"/>
    <n v="249685497"/>
    <x v="2"/>
    <x v="2"/>
    <x v="0"/>
  </r>
  <r>
    <s v="EMP1126"/>
    <s v="Eva"/>
    <s v="Johnson"/>
    <s v="Eva Johnson"/>
    <x v="1"/>
    <x v="4"/>
    <x v="2"/>
    <x v="2"/>
    <s v="11/07/2024"/>
    <x v="4"/>
    <x v="4"/>
    <n v="60401.68"/>
    <x v="1"/>
    <s v="Eva.Johnson@Example.Com"/>
    <n v="2274954507"/>
    <x v="0"/>
    <x v="0"/>
    <x v="1"/>
  </r>
  <r>
    <s v="EMP1127"/>
    <s v="Frank"/>
    <s v="Smith"/>
    <s v="Frank Smith"/>
    <x v="3"/>
    <x v="4"/>
    <x v="5"/>
    <x v="2"/>
    <s v="21/07/2022"/>
    <x v="3"/>
    <x v="3"/>
    <n v="115299.66"/>
    <x v="2"/>
    <s v="Frank.Smith@Example.Com"/>
    <n v="9203880652"/>
    <x v="2"/>
    <x v="2"/>
    <x v="0"/>
  </r>
  <r>
    <s v="EMP1128"/>
    <s v="David"/>
    <s v="Brown"/>
    <s v="David Brown"/>
    <x v="1"/>
    <x v="1"/>
    <x v="4"/>
    <x v="2"/>
    <s v="30/03/2020"/>
    <x v="1"/>
    <x v="1"/>
    <n v="72272.34"/>
    <x v="1"/>
    <s v="David.Brown@Example.Com"/>
    <n v="3315377958"/>
    <x v="0"/>
    <x v="0"/>
    <x v="1"/>
  </r>
  <r>
    <s v="EMP1129"/>
    <s v="Grace"/>
    <s v="Brown"/>
    <s v="Grace Brown"/>
    <x v="2"/>
    <x v="0"/>
    <x v="2"/>
    <x v="0"/>
    <s v="10/11/2022"/>
    <x v="3"/>
    <x v="3"/>
    <n v="117537.71"/>
    <x v="2"/>
    <s v="Grace.Brown@Example.Com"/>
    <n v="9594652169"/>
    <x v="1"/>
    <x v="1"/>
    <x v="1"/>
  </r>
  <r>
    <s v="EMP1130"/>
    <s v="Frank"/>
    <s v="Brown"/>
    <s v="Frank Brown"/>
    <x v="0"/>
    <x v="1"/>
    <x v="1"/>
    <x v="1"/>
    <s v="24/07/2022"/>
    <x v="3"/>
    <x v="3"/>
    <n v="51074.33"/>
    <x v="0"/>
    <s v="Frank.Brown@Example.Com"/>
    <n v="7303379336"/>
    <x v="1"/>
    <x v="1"/>
    <x v="0"/>
  </r>
  <r>
    <s v="EMP1131"/>
    <s v="Charlie"/>
    <s v="Jones"/>
    <s v="Charlie Jones"/>
    <x v="0"/>
    <x v="1"/>
    <x v="0"/>
    <x v="2"/>
    <s v="30/06/2023"/>
    <x v="2"/>
    <x v="2"/>
    <n v="98489.32"/>
    <x v="2"/>
    <s v="Charlie.Jones@Example.Com"/>
    <n v="5636205014"/>
    <x v="1"/>
    <x v="1"/>
    <x v="1"/>
  </r>
  <r>
    <s v="EMP1132"/>
    <s v="Frank"/>
    <s v="Smith"/>
    <s v="Frank Smith"/>
    <x v="1"/>
    <x v="1"/>
    <x v="0"/>
    <x v="1"/>
    <s v="01/11/2024"/>
    <x v="4"/>
    <x v="4"/>
    <n v="112120.71"/>
    <x v="2"/>
    <s v="Frank.Smith@Example.Com"/>
    <n v="812473949"/>
    <x v="3"/>
    <x v="3"/>
    <x v="0"/>
  </r>
  <r>
    <s v="EMP1133"/>
    <s v="Alice"/>
    <s v="Jones"/>
    <s v="Alice Jones"/>
    <x v="1"/>
    <x v="3"/>
    <x v="4"/>
    <x v="1"/>
    <s v="11/02/2023"/>
    <x v="2"/>
    <x v="2"/>
    <n v="114465.04"/>
    <x v="2"/>
    <s v="Alice.Jones@Example.Com"/>
    <n v="334234257"/>
    <x v="2"/>
    <x v="2"/>
    <x v="1"/>
  </r>
  <r>
    <s v="EMP1134"/>
    <s v="Bob"/>
    <s v="Davis"/>
    <s v="Bob Davis"/>
    <x v="2"/>
    <x v="3"/>
    <x v="2"/>
    <x v="1"/>
    <s v="22/11/2024"/>
    <x v="4"/>
    <x v="4"/>
    <n v="57035.51"/>
    <x v="0"/>
    <s v="Bob.Davis@Example.Com"/>
    <n v="3230241025"/>
    <x v="3"/>
    <x v="3"/>
    <x v="0"/>
  </r>
  <r>
    <s v="EMP1135"/>
    <s v="Eva"/>
    <s v="Jones"/>
    <s v="Eva Jones"/>
    <x v="0"/>
    <x v="3"/>
    <x v="0"/>
    <x v="0"/>
    <s v="23/08/2021"/>
    <x v="0"/>
    <x v="0"/>
    <n v="75092.429999999993"/>
    <x v="1"/>
    <s v="Eva.Jones@Example.Com"/>
    <n v="1534735527"/>
    <x v="1"/>
    <x v="1"/>
    <x v="0"/>
  </r>
  <r>
    <s v="EMP1136"/>
    <s v="David"/>
    <s v="Smith"/>
    <s v="David Smith"/>
    <x v="1"/>
    <x v="1"/>
    <x v="5"/>
    <x v="1"/>
    <s v="06/11/2024"/>
    <x v="4"/>
    <x v="4"/>
    <n v="62603.98"/>
    <x v="1"/>
    <s v="David.Smith@Example.Com"/>
    <n v="9611223385"/>
    <x v="2"/>
    <x v="2"/>
    <x v="1"/>
  </r>
  <r>
    <s v="EMP1137"/>
    <s v="Grace"/>
    <s v="Smith"/>
    <s v="Grace Smith"/>
    <x v="1"/>
    <x v="0"/>
    <x v="4"/>
    <x v="2"/>
    <s v="04/09/2023"/>
    <x v="2"/>
    <x v="2"/>
    <n v="60018.239999999998"/>
    <x v="1"/>
    <s v="Grace.Smith@Example.Com"/>
    <n v="5596309937"/>
    <x v="1"/>
    <x v="1"/>
    <x v="1"/>
  </r>
  <r>
    <s v="EMP1138"/>
    <s v="Eva"/>
    <s v="Davis"/>
    <s v="Eva Davis"/>
    <x v="2"/>
    <x v="5"/>
    <x v="2"/>
    <x v="0"/>
    <s v="07/05/2024"/>
    <x v="4"/>
    <x v="4"/>
    <n v="82567.73"/>
    <x v="1"/>
    <s v="Eva.Davis@Example.Com"/>
    <n v="4253042896"/>
    <x v="3"/>
    <x v="3"/>
    <x v="0"/>
  </r>
  <r>
    <s v="EMP1139"/>
    <s v="Charlie"/>
    <s v="Smith"/>
    <s v="Charlie Smith"/>
    <x v="0"/>
    <x v="1"/>
    <x v="0"/>
    <x v="1"/>
    <s v="09/04/2021"/>
    <x v="0"/>
    <x v="0"/>
    <n v="94725.71"/>
    <x v="2"/>
    <s v="Charlie.Smith@Example.Com"/>
    <n v="3179128684"/>
    <x v="3"/>
    <x v="3"/>
    <x v="1"/>
  </r>
  <r>
    <s v="EMP1140"/>
    <s v="Eva"/>
    <s v="Garcia"/>
    <s v="Eva Garcia"/>
    <x v="2"/>
    <x v="5"/>
    <x v="4"/>
    <x v="2"/>
    <s v="13/10/2024"/>
    <x v="4"/>
    <x v="4"/>
    <n v="83824.56"/>
    <x v="1"/>
    <s v="Eva.Garcia@Example.Com"/>
    <n v="7872558776"/>
    <x v="3"/>
    <x v="3"/>
    <x v="1"/>
  </r>
  <r>
    <s v="EMP1141"/>
    <s v="Frank"/>
    <s v="Smith"/>
    <s v="Frank Smith"/>
    <x v="1"/>
    <x v="5"/>
    <x v="2"/>
    <x v="2"/>
    <s v="14/02/2020"/>
    <x v="1"/>
    <x v="1"/>
    <n v="118456.11"/>
    <x v="2"/>
    <s v="Frank.Smith@Example.Com"/>
    <n v="4969033372"/>
    <x v="1"/>
    <x v="1"/>
    <x v="0"/>
  </r>
  <r>
    <s v="EMP1142"/>
    <s v="Eva"/>
    <s v="Brown"/>
    <s v="Eva Brown"/>
    <x v="0"/>
    <x v="4"/>
    <x v="2"/>
    <x v="1"/>
    <s v="04/10/2020"/>
    <x v="1"/>
    <x v="1"/>
    <n v="113743.19"/>
    <x v="2"/>
    <s v="Eva.Brown@Example.Com"/>
    <n v="6346692547"/>
    <x v="2"/>
    <x v="2"/>
    <x v="0"/>
  </r>
  <r>
    <s v="EMP1143"/>
    <s v="Eva"/>
    <s v="Garcia"/>
    <s v="Eva Garcia"/>
    <x v="1"/>
    <x v="4"/>
    <x v="0"/>
    <x v="0"/>
    <s v="27/07/2023"/>
    <x v="2"/>
    <x v="2"/>
    <n v="63309.24"/>
    <x v="1"/>
    <s v="Eva.Garcia@Example.Com"/>
    <n v="1214785389"/>
    <x v="2"/>
    <x v="2"/>
    <x v="1"/>
  </r>
  <r>
    <s v="EMP1144"/>
    <s v="Charlie"/>
    <s v="Garcia"/>
    <s v="Charlie Garcia"/>
    <x v="0"/>
    <x v="0"/>
    <x v="2"/>
    <x v="0"/>
    <s v="24/09/2021"/>
    <x v="0"/>
    <x v="0"/>
    <n v="105202.73"/>
    <x v="2"/>
    <s v="Charlie.Garcia@Example.Com"/>
    <n v="7895677664"/>
    <x v="1"/>
    <x v="1"/>
    <x v="0"/>
  </r>
  <r>
    <s v="EMP1145"/>
    <s v="Frank"/>
    <s v="Davis"/>
    <s v="Frank Davis"/>
    <x v="1"/>
    <x v="3"/>
    <x v="0"/>
    <x v="2"/>
    <s v="03/10/2024"/>
    <x v="4"/>
    <x v="4"/>
    <n v="79085.22"/>
    <x v="1"/>
    <s v="Frank.Davis@Example.Com"/>
    <n v="7546027340"/>
    <x v="2"/>
    <x v="2"/>
    <x v="0"/>
  </r>
  <r>
    <s v="EMP1146"/>
    <s v="Frank"/>
    <s v="Williams"/>
    <s v="Frank Williams"/>
    <x v="1"/>
    <x v="4"/>
    <x v="0"/>
    <x v="0"/>
    <s v="06/10/2021"/>
    <x v="0"/>
    <x v="0"/>
    <n v="113983.43"/>
    <x v="2"/>
    <s v="Frank.Williams@Example.Com"/>
    <n v="5148881430"/>
    <x v="1"/>
    <x v="1"/>
    <x v="0"/>
  </r>
  <r>
    <s v="EMP1147"/>
    <s v="Eva"/>
    <s v="Williams"/>
    <s v="Eva Williams"/>
    <x v="3"/>
    <x v="3"/>
    <x v="3"/>
    <x v="0"/>
    <s v="15/10/2020"/>
    <x v="1"/>
    <x v="1"/>
    <n v="102790.6"/>
    <x v="2"/>
    <s v="Eva.Williams@Example.Com"/>
    <n v="1150835353"/>
    <x v="2"/>
    <x v="2"/>
    <x v="1"/>
  </r>
  <r>
    <s v="EMP1148"/>
    <s v="Grace"/>
    <s v="Smith"/>
    <s v="Grace Smith"/>
    <x v="1"/>
    <x v="5"/>
    <x v="1"/>
    <x v="2"/>
    <s v="29/01/2020"/>
    <x v="1"/>
    <x v="1"/>
    <n v="68512.100000000006"/>
    <x v="1"/>
    <s v="Grace.Smith@Example.Com"/>
    <n v="4439284043"/>
    <x v="0"/>
    <x v="0"/>
    <x v="1"/>
  </r>
  <r>
    <s v="EMP1149"/>
    <s v="Frank"/>
    <s v="Garcia"/>
    <s v="Frank Garcia"/>
    <x v="3"/>
    <x v="4"/>
    <x v="3"/>
    <x v="1"/>
    <s v="30/01/2022"/>
    <x v="3"/>
    <x v="3"/>
    <n v="57584.23"/>
    <x v="0"/>
    <s v="Frank.Garcia@Example.Com"/>
    <n v="5669078262"/>
    <x v="0"/>
    <x v="0"/>
    <x v="0"/>
  </r>
  <r>
    <s v="EMP1150"/>
    <s v="Alice"/>
    <s v="Williams"/>
    <s v="Alice Williams"/>
    <x v="1"/>
    <x v="4"/>
    <x v="0"/>
    <x v="1"/>
    <s v="29/03/2021"/>
    <x v="0"/>
    <x v="0"/>
    <n v="95335.67"/>
    <x v="2"/>
    <s v="Alice.Williams@Example.Com"/>
    <n v="3373898774"/>
    <x v="3"/>
    <x v="3"/>
    <x v="1"/>
  </r>
  <r>
    <s v="EMP1151"/>
    <s v="Heidi"/>
    <s v="Williams"/>
    <s v="Heidi Williams"/>
    <x v="3"/>
    <x v="0"/>
    <x v="3"/>
    <x v="0"/>
    <s v="13/10/2020"/>
    <x v="1"/>
    <x v="1"/>
    <n v="53174.28"/>
    <x v="0"/>
    <s v="Heidi.Williams@Example.Com"/>
    <n v="1536637779"/>
    <x v="0"/>
    <x v="0"/>
    <x v="0"/>
  </r>
  <r>
    <s v="EMP1152"/>
    <s v="Heidi"/>
    <s v="Smith"/>
    <s v="Heidi Smith"/>
    <x v="0"/>
    <x v="3"/>
    <x v="4"/>
    <x v="1"/>
    <s v="10/04/2020"/>
    <x v="1"/>
    <x v="1"/>
    <n v="77205.210000000006"/>
    <x v="1"/>
    <s v="Heidi.Smith@Example.Com"/>
    <n v="5292407552"/>
    <x v="0"/>
    <x v="0"/>
    <x v="1"/>
  </r>
  <r>
    <s v="EMP1153"/>
    <s v="Grace"/>
    <s v="Williams"/>
    <s v="Grace Williams"/>
    <x v="1"/>
    <x v="0"/>
    <x v="2"/>
    <x v="0"/>
    <s v="18/12/2024"/>
    <x v="5"/>
    <x v="4"/>
    <n v="79041.919999999998"/>
    <x v="1"/>
    <s v="Grace.Williams@Example.Com"/>
    <n v="6668459089"/>
    <x v="0"/>
    <x v="0"/>
    <x v="0"/>
  </r>
  <r>
    <s v="EMP1154"/>
    <s v="Heidi"/>
    <s v="Jones"/>
    <s v="Heidi Jones"/>
    <x v="1"/>
    <x v="1"/>
    <x v="0"/>
    <x v="0"/>
    <s v="14/11/2023"/>
    <x v="2"/>
    <x v="2"/>
    <n v="75937.100000000006"/>
    <x v="1"/>
    <s v="Heidi.Jones@Example.Com"/>
    <n v="2259999662"/>
    <x v="1"/>
    <x v="1"/>
    <x v="0"/>
  </r>
  <r>
    <s v="EMP1155"/>
    <s v="David"/>
    <s v="Johnson"/>
    <s v="David Johnson"/>
    <x v="3"/>
    <x v="3"/>
    <x v="2"/>
    <x v="2"/>
    <s v="20/01/2023"/>
    <x v="2"/>
    <x v="2"/>
    <n v="113118.73"/>
    <x v="2"/>
    <s v="David.Johnson@Example.Com"/>
    <n v="6186371596"/>
    <x v="0"/>
    <x v="0"/>
    <x v="1"/>
  </r>
  <r>
    <s v="EMP1156"/>
    <s v="Alice"/>
    <s v="Davis"/>
    <s v="Alice Davis"/>
    <x v="2"/>
    <x v="5"/>
    <x v="4"/>
    <x v="0"/>
    <s v="10/02/2024"/>
    <x v="4"/>
    <x v="4"/>
    <n v="107693.38"/>
    <x v="2"/>
    <s v="Alice.Davis@Example.Com"/>
    <n v="4121820969"/>
    <x v="0"/>
    <x v="0"/>
    <x v="0"/>
  </r>
  <r>
    <s v="EMP1157"/>
    <s v="David"/>
    <s v="Johnson"/>
    <s v="David Johnson"/>
    <x v="1"/>
    <x v="3"/>
    <x v="1"/>
    <x v="2"/>
    <s v="13/05/2021"/>
    <x v="0"/>
    <x v="0"/>
    <n v="119217.46"/>
    <x v="2"/>
    <s v="David.Johnson@Example.Com"/>
    <n v="2316433480"/>
    <x v="3"/>
    <x v="3"/>
    <x v="1"/>
  </r>
  <r>
    <s v="EMP1158"/>
    <s v="David"/>
    <s v="Smith"/>
    <s v="David Smith"/>
    <x v="0"/>
    <x v="4"/>
    <x v="4"/>
    <x v="1"/>
    <s v="18/03/2021"/>
    <x v="0"/>
    <x v="0"/>
    <n v="106913.71"/>
    <x v="2"/>
    <s v="David.Smith@Example.Com"/>
    <n v="7058025661"/>
    <x v="0"/>
    <x v="0"/>
    <x v="1"/>
  </r>
  <r>
    <s v="EMP1159"/>
    <s v="Charlie"/>
    <s v="Brown"/>
    <s v="Charlie Brown"/>
    <x v="1"/>
    <x v="3"/>
    <x v="0"/>
    <x v="0"/>
    <s v="23/09/2020"/>
    <x v="1"/>
    <x v="1"/>
    <n v="87815.08"/>
    <x v="2"/>
    <s v="Charlie.Brown@Example.Com"/>
    <n v="1286716322"/>
    <x v="0"/>
    <x v="0"/>
    <x v="0"/>
  </r>
  <r>
    <s v="EMP1160"/>
    <s v="Bob"/>
    <s v="Davis"/>
    <s v="Bob Davis"/>
    <x v="0"/>
    <x v="2"/>
    <x v="1"/>
    <x v="2"/>
    <s v="06/05/2024"/>
    <x v="4"/>
    <x v="4"/>
    <n v="105190.21"/>
    <x v="2"/>
    <s v="Bob.Davis@Example.Com"/>
    <n v="4672994937"/>
    <x v="2"/>
    <x v="2"/>
    <x v="0"/>
  </r>
  <r>
    <s v="EMP1161"/>
    <s v="Alice"/>
    <s v="Smith"/>
    <s v="Alice Smith"/>
    <x v="1"/>
    <x v="5"/>
    <x v="1"/>
    <x v="0"/>
    <s v="28/02/2024"/>
    <x v="4"/>
    <x v="4"/>
    <n v="79467.240000000005"/>
    <x v="1"/>
    <s v="Alice.Smith@Example.Com"/>
    <n v="7430271692"/>
    <x v="3"/>
    <x v="3"/>
    <x v="1"/>
  </r>
  <r>
    <s v="EMP1162"/>
    <s v="Bob"/>
    <s v="Garcia"/>
    <s v="Bob Garcia"/>
    <x v="2"/>
    <x v="1"/>
    <x v="0"/>
    <x v="1"/>
    <s v="30/04/2023"/>
    <x v="2"/>
    <x v="2"/>
    <n v="57633.78"/>
    <x v="0"/>
    <s v="Bob.Garcia@Example.Com"/>
    <n v="8597779013"/>
    <x v="3"/>
    <x v="3"/>
    <x v="0"/>
  </r>
  <r>
    <s v="EMP1163"/>
    <s v="Alice"/>
    <s v="Brown"/>
    <s v="Alice Brown"/>
    <x v="1"/>
    <x v="5"/>
    <x v="3"/>
    <x v="1"/>
    <s v="03/04/2020"/>
    <x v="1"/>
    <x v="1"/>
    <n v="54257.78"/>
    <x v="0"/>
    <s v="Alice.Brown@Example.Com"/>
    <n v="7546926328"/>
    <x v="3"/>
    <x v="3"/>
    <x v="0"/>
  </r>
  <r>
    <s v="EMP1164"/>
    <s v="Grace"/>
    <s v="Johnson"/>
    <s v="Grace Johnson"/>
    <x v="2"/>
    <x v="0"/>
    <x v="1"/>
    <x v="2"/>
    <s v="29/12/2023"/>
    <x v="4"/>
    <x v="2"/>
    <n v="113679.06"/>
    <x v="2"/>
    <s v="Grace.Johnson@Example.Com"/>
    <n v="6762916031"/>
    <x v="3"/>
    <x v="3"/>
    <x v="0"/>
  </r>
  <r>
    <s v="EMP1165"/>
    <s v="Bob"/>
    <s v="Smith"/>
    <s v="Bob Smith"/>
    <x v="3"/>
    <x v="4"/>
    <x v="4"/>
    <x v="0"/>
    <s v="15/09/2020"/>
    <x v="1"/>
    <x v="1"/>
    <n v="69251.12"/>
    <x v="1"/>
    <s v="Bob.Smith@Example.Com"/>
    <n v="4841376814"/>
    <x v="3"/>
    <x v="3"/>
    <x v="0"/>
  </r>
  <r>
    <s v="EMP1166"/>
    <s v="Frank"/>
    <s v="Garcia"/>
    <s v="Frank Garcia"/>
    <x v="2"/>
    <x v="4"/>
    <x v="5"/>
    <x v="2"/>
    <s v="18/07/2022"/>
    <x v="3"/>
    <x v="3"/>
    <n v="85388.58"/>
    <x v="2"/>
    <s v="Frank.Garcia@Example.Com"/>
    <n v="1185672437"/>
    <x v="3"/>
    <x v="3"/>
    <x v="0"/>
  </r>
  <r>
    <s v="EMP1167"/>
    <s v="Bob"/>
    <s v="Davis"/>
    <s v="Bob Davis"/>
    <x v="1"/>
    <x v="0"/>
    <x v="4"/>
    <x v="2"/>
    <s v="13/07/2022"/>
    <x v="3"/>
    <x v="3"/>
    <n v="112166.37"/>
    <x v="2"/>
    <s v="Bob.Davis@Example.Com"/>
    <n v="701765635"/>
    <x v="1"/>
    <x v="1"/>
    <x v="1"/>
  </r>
  <r>
    <s v="EMP1168"/>
    <s v="Heidi"/>
    <s v="Davis"/>
    <s v="Heidi Davis"/>
    <x v="2"/>
    <x v="1"/>
    <x v="2"/>
    <x v="0"/>
    <s v="10/02/2021"/>
    <x v="0"/>
    <x v="0"/>
    <n v="79873.48"/>
    <x v="1"/>
    <s v="Heidi.Davis@Example.Com"/>
    <n v="41257770"/>
    <x v="0"/>
    <x v="0"/>
    <x v="1"/>
  </r>
  <r>
    <s v="EMP1169"/>
    <s v="Frank"/>
    <s v="Miller"/>
    <s v="Frank Miller"/>
    <x v="1"/>
    <x v="0"/>
    <x v="3"/>
    <x v="0"/>
    <s v="07/05/2020"/>
    <x v="1"/>
    <x v="1"/>
    <n v="108224.03"/>
    <x v="2"/>
    <s v="Frank.Miller@Example.Com"/>
    <n v="1837274219"/>
    <x v="3"/>
    <x v="3"/>
    <x v="0"/>
  </r>
  <r>
    <s v="EMP1170"/>
    <s v="Bob"/>
    <s v="Garcia"/>
    <s v="Bob Garcia"/>
    <x v="3"/>
    <x v="2"/>
    <x v="5"/>
    <x v="0"/>
    <s v="16/04/2023"/>
    <x v="2"/>
    <x v="2"/>
    <n v="116963.72"/>
    <x v="2"/>
    <s v="Bob.Garcia@Example.Com"/>
    <n v="9124186209"/>
    <x v="0"/>
    <x v="0"/>
    <x v="0"/>
  </r>
  <r>
    <s v="EMP1171"/>
    <s v="Bob"/>
    <s v="Jones"/>
    <s v="Bob Jones"/>
    <x v="2"/>
    <x v="5"/>
    <x v="2"/>
    <x v="2"/>
    <s v="11/12/2024"/>
    <x v="5"/>
    <x v="4"/>
    <n v="114109.06"/>
    <x v="2"/>
    <s v="Bob.Jones@Example.Com"/>
    <n v="4275230836"/>
    <x v="0"/>
    <x v="0"/>
    <x v="0"/>
  </r>
  <r>
    <s v="EMP1172"/>
    <s v="Eva"/>
    <s v="Williams"/>
    <s v="Eva Williams"/>
    <x v="1"/>
    <x v="5"/>
    <x v="0"/>
    <x v="0"/>
    <s v="29/03/2023"/>
    <x v="2"/>
    <x v="2"/>
    <n v="85518.88"/>
    <x v="2"/>
    <s v="Eva.Williams@Example.Com"/>
    <n v="816470899"/>
    <x v="1"/>
    <x v="1"/>
    <x v="1"/>
  </r>
  <r>
    <s v="EMP1173"/>
    <s v="Heidi"/>
    <s v="Brown"/>
    <s v="Heidi Brown"/>
    <x v="1"/>
    <x v="3"/>
    <x v="0"/>
    <x v="1"/>
    <s v="22/01/2022"/>
    <x v="3"/>
    <x v="3"/>
    <n v="58041.97"/>
    <x v="0"/>
    <s v="Heidi.Brown@Example.Com"/>
    <n v="6335331059"/>
    <x v="3"/>
    <x v="3"/>
    <x v="0"/>
  </r>
  <r>
    <s v="EMP1174"/>
    <s v="David"/>
    <s v="Garcia"/>
    <s v="David Garcia"/>
    <x v="2"/>
    <x v="4"/>
    <x v="5"/>
    <x v="1"/>
    <s v="14/10/2023"/>
    <x v="2"/>
    <x v="2"/>
    <n v="94988.94"/>
    <x v="2"/>
    <s v="David.Garcia@Example.Com"/>
    <n v="531312205"/>
    <x v="2"/>
    <x v="2"/>
    <x v="1"/>
  </r>
  <r>
    <s v="EMP1175"/>
    <s v="Eva"/>
    <s v="Miller"/>
    <s v="Eva Miller"/>
    <x v="0"/>
    <x v="2"/>
    <x v="0"/>
    <x v="1"/>
    <s v="04/10/2024"/>
    <x v="4"/>
    <x v="4"/>
    <n v="71628.929999999993"/>
    <x v="1"/>
    <s v="Eva.Miller@Example.Com"/>
    <n v="8155839385"/>
    <x v="1"/>
    <x v="1"/>
    <x v="1"/>
  </r>
  <r>
    <s v="EMP1176"/>
    <s v="Alice"/>
    <s v="Williams"/>
    <s v="Alice Williams"/>
    <x v="1"/>
    <x v="2"/>
    <x v="5"/>
    <x v="1"/>
    <s v="31/03/2022"/>
    <x v="3"/>
    <x v="3"/>
    <n v="54870.98"/>
    <x v="0"/>
    <s v="Alice.Williams@Example.Com"/>
    <n v="6133155205"/>
    <x v="2"/>
    <x v="2"/>
    <x v="1"/>
  </r>
  <r>
    <s v="EMP1177"/>
    <s v="Alice"/>
    <s v="Williams"/>
    <s v="Alice Williams"/>
    <x v="0"/>
    <x v="0"/>
    <x v="5"/>
    <x v="0"/>
    <s v="02/09/2022"/>
    <x v="3"/>
    <x v="3"/>
    <n v="79388.27"/>
    <x v="1"/>
    <s v="Alice.Williams@Example.Com"/>
    <n v="5063731494"/>
    <x v="0"/>
    <x v="0"/>
    <x v="0"/>
  </r>
  <r>
    <s v="EMP1178"/>
    <s v="Frank"/>
    <s v="Smith"/>
    <s v="Frank Smith"/>
    <x v="3"/>
    <x v="0"/>
    <x v="0"/>
    <x v="1"/>
    <s v="05/06/2023"/>
    <x v="2"/>
    <x v="2"/>
    <n v="55946.99"/>
    <x v="0"/>
    <s v="Frank.Smith@Example.Com"/>
    <n v="136497188"/>
    <x v="0"/>
    <x v="0"/>
    <x v="1"/>
  </r>
  <r>
    <s v="EMP1179"/>
    <s v="Charlie"/>
    <s v="Williams"/>
    <s v="Charlie Williams"/>
    <x v="1"/>
    <x v="3"/>
    <x v="2"/>
    <x v="0"/>
    <s v="07/11/2021"/>
    <x v="0"/>
    <x v="0"/>
    <n v="81017.91"/>
    <x v="1"/>
    <s v="Charlie.Williams@Example.Com"/>
    <n v="2419562524"/>
    <x v="1"/>
    <x v="1"/>
    <x v="0"/>
  </r>
  <r>
    <s v="EMP1180"/>
    <s v="Heidi"/>
    <s v="Jones"/>
    <s v="Heidi Jones"/>
    <x v="2"/>
    <x v="5"/>
    <x v="4"/>
    <x v="1"/>
    <s v="21/08/2020"/>
    <x v="1"/>
    <x v="1"/>
    <n v="74162.100000000006"/>
    <x v="1"/>
    <s v="Heidi.Jones@Example.Com"/>
    <n v="7150997682"/>
    <x v="1"/>
    <x v="1"/>
    <x v="1"/>
  </r>
  <r>
    <s v="EMP1181"/>
    <s v="Heidi"/>
    <s v="Davis"/>
    <s v="Heidi Davis"/>
    <x v="1"/>
    <x v="0"/>
    <x v="0"/>
    <x v="0"/>
    <s v="27/03/2021"/>
    <x v="0"/>
    <x v="0"/>
    <n v="77668.44"/>
    <x v="1"/>
    <s v="Heidi.Davis@Example.Com"/>
    <n v="8903091435"/>
    <x v="2"/>
    <x v="2"/>
    <x v="0"/>
  </r>
  <r>
    <s v="EMP1182"/>
    <s v="Alice"/>
    <s v="Miller"/>
    <s v="Alice Miller"/>
    <x v="1"/>
    <x v="5"/>
    <x v="4"/>
    <x v="0"/>
    <s v="14/04/2024"/>
    <x v="4"/>
    <x v="4"/>
    <n v="67886.37"/>
    <x v="1"/>
    <s v="Alice.Miller@Example.Com"/>
    <n v="3910257431"/>
    <x v="3"/>
    <x v="3"/>
    <x v="1"/>
  </r>
  <r>
    <s v="EMP1183"/>
    <s v="Alice"/>
    <s v="Williams"/>
    <s v="Alice Williams"/>
    <x v="2"/>
    <x v="0"/>
    <x v="3"/>
    <x v="0"/>
    <s v="21/09/2020"/>
    <x v="1"/>
    <x v="1"/>
    <n v="76614.52"/>
    <x v="1"/>
    <s v="Alice.Williams@Example.Com"/>
    <n v="6303975244"/>
    <x v="2"/>
    <x v="2"/>
    <x v="0"/>
  </r>
  <r>
    <s v="EMP1184"/>
    <s v="Frank"/>
    <s v="Smith"/>
    <s v="Frank Smith"/>
    <x v="0"/>
    <x v="1"/>
    <x v="2"/>
    <x v="0"/>
    <s v="06/12/2022"/>
    <x v="2"/>
    <x v="3"/>
    <n v="51311.91"/>
    <x v="0"/>
    <s v="Frank.Smith@Example.Com"/>
    <n v="864035532"/>
    <x v="1"/>
    <x v="1"/>
    <x v="1"/>
  </r>
  <r>
    <s v="EMP1185"/>
    <s v="Frank"/>
    <s v="Jones"/>
    <s v="Frank Jones"/>
    <x v="1"/>
    <x v="1"/>
    <x v="5"/>
    <x v="2"/>
    <s v="24/12/2023"/>
    <x v="4"/>
    <x v="2"/>
    <n v="94809.919999999998"/>
    <x v="2"/>
    <s v="Frank.Jones@Example.Com"/>
    <n v="8033968526"/>
    <x v="2"/>
    <x v="2"/>
    <x v="0"/>
  </r>
  <r>
    <s v="EMP1186"/>
    <s v="Grace"/>
    <s v="Johnson"/>
    <s v="Grace Johnson"/>
    <x v="0"/>
    <x v="5"/>
    <x v="4"/>
    <x v="1"/>
    <s v="31/07/2022"/>
    <x v="3"/>
    <x v="3"/>
    <n v="108241.81"/>
    <x v="2"/>
    <s v="Grace.Johnson@Example.Com"/>
    <n v="171302320"/>
    <x v="1"/>
    <x v="1"/>
    <x v="0"/>
  </r>
  <r>
    <s v="EMP1187"/>
    <s v="Bob"/>
    <s v="Davis"/>
    <s v="Bob Davis"/>
    <x v="2"/>
    <x v="3"/>
    <x v="4"/>
    <x v="2"/>
    <s v="21/04/2023"/>
    <x v="2"/>
    <x v="2"/>
    <n v="78031.490000000005"/>
    <x v="1"/>
    <s v="Bob.Davis@Example.Com"/>
    <n v="2983381673"/>
    <x v="2"/>
    <x v="2"/>
    <x v="0"/>
  </r>
  <r>
    <s v="EMP1188"/>
    <s v="Eva"/>
    <s v="Davis"/>
    <s v="Eva Davis"/>
    <x v="3"/>
    <x v="2"/>
    <x v="0"/>
    <x v="0"/>
    <s v="06/05/2020"/>
    <x v="1"/>
    <x v="1"/>
    <n v="85733.83"/>
    <x v="2"/>
    <s v="Eva.Davis@Example.Com"/>
    <n v="2336293448"/>
    <x v="1"/>
    <x v="1"/>
    <x v="0"/>
  </r>
  <r>
    <s v="EMP1189"/>
    <s v="David"/>
    <s v="Miller"/>
    <s v="David Miller"/>
    <x v="3"/>
    <x v="5"/>
    <x v="2"/>
    <x v="1"/>
    <s v="27/07/2024"/>
    <x v="4"/>
    <x v="4"/>
    <n v="60338.29"/>
    <x v="1"/>
    <s v="David.Miller@Example.Com"/>
    <n v="7347156626"/>
    <x v="1"/>
    <x v="1"/>
    <x v="1"/>
  </r>
  <r>
    <s v="EMP1190"/>
    <s v="Eva"/>
    <s v="Davis"/>
    <s v="Eva Davis"/>
    <x v="1"/>
    <x v="2"/>
    <x v="5"/>
    <x v="0"/>
    <s v="04/05/2024"/>
    <x v="4"/>
    <x v="4"/>
    <n v="103140.67"/>
    <x v="2"/>
    <s v="Eva.Davis@Example.Com"/>
    <n v="7689627065"/>
    <x v="1"/>
    <x v="1"/>
    <x v="1"/>
  </r>
  <r>
    <s v="EMP1191"/>
    <s v="Heidi"/>
    <s v="Williams"/>
    <s v="Heidi Williams"/>
    <x v="2"/>
    <x v="4"/>
    <x v="5"/>
    <x v="2"/>
    <s v="26/10/2023"/>
    <x v="2"/>
    <x v="2"/>
    <n v="114690.8"/>
    <x v="2"/>
    <s v="Heidi.Williams@Example.Com"/>
    <n v="1498282466"/>
    <x v="3"/>
    <x v="3"/>
    <x v="0"/>
  </r>
  <r>
    <s v="EMP1192"/>
    <s v="Frank"/>
    <s v="Smith"/>
    <s v="Frank Smith"/>
    <x v="3"/>
    <x v="2"/>
    <x v="3"/>
    <x v="0"/>
    <s v="18/08/2022"/>
    <x v="3"/>
    <x v="3"/>
    <n v="80954.559999999998"/>
    <x v="1"/>
    <s v="Frank.Smith@Example.Com"/>
    <n v="4746897151"/>
    <x v="2"/>
    <x v="2"/>
    <x v="1"/>
  </r>
  <r>
    <s v="EMP1193"/>
    <s v="Eva"/>
    <s v="Davis"/>
    <s v="Eva Davis"/>
    <x v="1"/>
    <x v="3"/>
    <x v="0"/>
    <x v="1"/>
    <s v="31/05/2020"/>
    <x v="1"/>
    <x v="1"/>
    <n v="71728.55"/>
    <x v="1"/>
    <s v="Eva.Davis@Example.Com"/>
    <n v="7323008575"/>
    <x v="2"/>
    <x v="2"/>
    <x v="0"/>
  </r>
  <r>
    <s v="EMP1194"/>
    <s v="Alice"/>
    <s v="Davis"/>
    <s v="Alice Davis"/>
    <x v="3"/>
    <x v="5"/>
    <x v="1"/>
    <x v="1"/>
    <s v="11/04/2024"/>
    <x v="4"/>
    <x v="4"/>
    <n v="118415.8"/>
    <x v="2"/>
    <s v="Alice.Davis@Example.Com"/>
    <n v="6656749159"/>
    <x v="2"/>
    <x v="2"/>
    <x v="0"/>
  </r>
  <r>
    <s v="EMP1195"/>
    <s v="Grace"/>
    <s v="Johnson"/>
    <s v="Grace Johnson"/>
    <x v="2"/>
    <x v="4"/>
    <x v="5"/>
    <x v="1"/>
    <s v="25/03/2020"/>
    <x v="1"/>
    <x v="1"/>
    <n v="81481.36"/>
    <x v="1"/>
    <s v="Grace.Johnson@Example.Com"/>
    <n v="1692364586"/>
    <x v="1"/>
    <x v="1"/>
    <x v="1"/>
  </r>
  <r>
    <s v="EMP1196"/>
    <s v="David"/>
    <s v="Johnson"/>
    <s v="David Johnson"/>
    <x v="3"/>
    <x v="4"/>
    <x v="3"/>
    <x v="1"/>
    <s v="11/04/2020"/>
    <x v="1"/>
    <x v="1"/>
    <n v="117040.57"/>
    <x v="2"/>
    <s v="David.Johnson@Example.Com"/>
    <n v="5066337049"/>
    <x v="2"/>
    <x v="2"/>
    <x v="0"/>
  </r>
  <r>
    <s v="EMP1197"/>
    <s v="Frank"/>
    <s v="Brown"/>
    <s v="Frank Brown"/>
    <x v="0"/>
    <x v="4"/>
    <x v="2"/>
    <x v="0"/>
    <s v="21/03/2020"/>
    <x v="1"/>
    <x v="1"/>
    <n v="67342.06"/>
    <x v="1"/>
    <s v="Frank.Brown@Example.Com"/>
    <n v="2497243991"/>
    <x v="2"/>
    <x v="2"/>
    <x v="0"/>
  </r>
  <r>
    <s v="EMP1198"/>
    <s v="Heidi"/>
    <s v="Jones"/>
    <s v="Heidi Jones"/>
    <x v="1"/>
    <x v="4"/>
    <x v="5"/>
    <x v="0"/>
    <s v="15/01/2022"/>
    <x v="3"/>
    <x v="3"/>
    <n v="76099.64"/>
    <x v="1"/>
    <s v="Heidi.Jones@Example.Com"/>
    <n v="116691835"/>
    <x v="1"/>
    <x v="1"/>
    <x v="1"/>
  </r>
  <r>
    <s v="EMP1199"/>
    <s v="Grace"/>
    <s v="Williams"/>
    <s v="Grace Williams"/>
    <x v="3"/>
    <x v="0"/>
    <x v="5"/>
    <x v="0"/>
    <s v="06/04/2024"/>
    <x v="4"/>
    <x v="4"/>
    <n v="94162.06"/>
    <x v="2"/>
    <s v="Grace.Williams@Example.Com"/>
    <n v="2644886945"/>
    <x v="0"/>
    <x v="0"/>
    <x v="0"/>
  </r>
  <r>
    <s v="EMP1200"/>
    <s v="Frank"/>
    <s v="Davis"/>
    <s v="Frank Davis"/>
    <x v="0"/>
    <x v="4"/>
    <x v="2"/>
    <x v="2"/>
    <s v="08/04/2021"/>
    <x v="0"/>
    <x v="0"/>
    <n v="67639.7"/>
    <x v="1"/>
    <s v="Frank.Davis@Example.Com"/>
    <n v="1195243639"/>
    <x v="1"/>
    <x v="1"/>
    <x v="0"/>
  </r>
  <r>
    <s v="EMP1201"/>
    <s v="Charlie"/>
    <s v="Garcia"/>
    <s v="Charlie Garcia"/>
    <x v="3"/>
    <x v="3"/>
    <x v="5"/>
    <x v="1"/>
    <s v="16/10/2020"/>
    <x v="1"/>
    <x v="1"/>
    <n v="114172.25"/>
    <x v="2"/>
    <s v="Charlie.Garcia@Example.Com"/>
    <n v="2701168645"/>
    <x v="2"/>
    <x v="2"/>
    <x v="0"/>
  </r>
  <r>
    <s v="EMP1202"/>
    <s v="Grace"/>
    <s v="Davis"/>
    <s v="Grace Davis"/>
    <x v="1"/>
    <x v="4"/>
    <x v="2"/>
    <x v="0"/>
    <s v="26/09/2021"/>
    <x v="0"/>
    <x v="0"/>
    <n v="89124.54"/>
    <x v="2"/>
    <s v="Grace.Davis@Example.Com"/>
    <n v="2252237280"/>
    <x v="1"/>
    <x v="1"/>
    <x v="0"/>
  </r>
  <r>
    <s v="EMP1203"/>
    <s v="Frank"/>
    <s v="Smith"/>
    <s v="Frank Smith"/>
    <x v="1"/>
    <x v="0"/>
    <x v="2"/>
    <x v="1"/>
    <s v="11/04/2023"/>
    <x v="2"/>
    <x v="2"/>
    <n v="113871.36"/>
    <x v="2"/>
    <s v="Frank.Smith@Example.Com"/>
    <n v="7932302345"/>
    <x v="0"/>
    <x v="0"/>
    <x v="1"/>
  </r>
  <r>
    <s v="EMP1204"/>
    <s v="Grace"/>
    <s v="Brown"/>
    <s v="Grace Brown"/>
    <x v="1"/>
    <x v="5"/>
    <x v="1"/>
    <x v="2"/>
    <s v="24/09/2021"/>
    <x v="0"/>
    <x v="0"/>
    <n v="62618.400000000001"/>
    <x v="1"/>
    <s v="Grace.Brown@Example.Com"/>
    <n v="7912141613"/>
    <x v="1"/>
    <x v="1"/>
    <x v="1"/>
  </r>
  <r>
    <s v="EMP1205"/>
    <s v="Heidi"/>
    <s v="Jones"/>
    <s v="Heidi Jones"/>
    <x v="1"/>
    <x v="2"/>
    <x v="4"/>
    <x v="0"/>
    <s v="06/07/2020"/>
    <x v="1"/>
    <x v="1"/>
    <n v="70705.45"/>
    <x v="1"/>
    <s v="Heidi.Jones@Example.Com"/>
    <n v="1509377099"/>
    <x v="2"/>
    <x v="2"/>
    <x v="1"/>
  </r>
  <r>
    <s v="EMP1206"/>
    <s v="Alice"/>
    <s v="Garcia"/>
    <s v="Alice Garcia"/>
    <x v="3"/>
    <x v="4"/>
    <x v="4"/>
    <x v="1"/>
    <s v="02/10/2022"/>
    <x v="3"/>
    <x v="3"/>
    <n v="60797.69"/>
    <x v="1"/>
    <s v="Alice.Garcia@Example.Com"/>
    <n v="4090138068"/>
    <x v="0"/>
    <x v="0"/>
    <x v="0"/>
  </r>
  <r>
    <s v="EMP1207"/>
    <s v="Charlie"/>
    <s v="Brown"/>
    <s v="Charlie Brown"/>
    <x v="2"/>
    <x v="3"/>
    <x v="3"/>
    <x v="2"/>
    <s v="17/10/2023"/>
    <x v="2"/>
    <x v="2"/>
    <n v="100371"/>
    <x v="2"/>
    <s v="Charlie.Brown@Example.Com"/>
    <n v="8477596554"/>
    <x v="3"/>
    <x v="3"/>
    <x v="0"/>
  </r>
  <r>
    <s v="EMP1208"/>
    <s v="Eva"/>
    <s v="Miller"/>
    <s v="Eva Miller"/>
    <x v="2"/>
    <x v="2"/>
    <x v="5"/>
    <x v="0"/>
    <s v="25/09/2021"/>
    <x v="0"/>
    <x v="0"/>
    <n v="117591.76"/>
    <x v="2"/>
    <s v="Eva.Miller@Example.Com"/>
    <n v="5356690550"/>
    <x v="2"/>
    <x v="2"/>
    <x v="1"/>
  </r>
  <r>
    <s v="EMP1209"/>
    <s v="David"/>
    <s v="Jones"/>
    <s v="David Jones"/>
    <x v="3"/>
    <x v="0"/>
    <x v="5"/>
    <x v="2"/>
    <s v="08/03/2022"/>
    <x v="3"/>
    <x v="3"/>
    <n v="103860.7"/>
    <x v="2"/>
    <s v="David.Jones@Example.Com"/>
    <n v="762091842"/>
    <x v="0"/>
    <x v="0"/>
    <x v="0"/>
  </r>
  <r>
    <s v="EMP1210"/>
    <s v="Grace"/>
    <s v="Davis"/>
    <s v="Grace Davis"/>
    <x v="1"/>
    <x v="2"/>
    <x v="5"/>
    <x v="0"/>
    <s v="22/11/2024"/>
    <x v="4"/>
    <x v="4"/>
    <n v="67500.22"/>
    <x v="1"/>
    <s v="Grace.Davis@Example.Com"/>
    <n v="5797863049"/>
    <x v="0"/>
    <x v="0"/>
    <x v="0"/>
  </r>
  <r>
    <s v="EMP1211"/>
    <s v="Frank"/>
    <s v="Davis"/>
    <s v="Frank Davis"/>
    <x v="1"/>
    <x v="3"/>
    <x v="2"/>
    <x v="1"/>
    <s v="10/09/2024"/>
    <x v="4"/>
    <x v="4"/>
    <n v="58727.44"/>
    <x v="0"/>
    <s v="Frank.Davis@Example.Com"/>
    <n v="5057397690"/>
    <x v="3"/>
    <x v="3"/>
    <x v="0"/>
  </r>
  <r>
    <s v="EMP1212"/>
    <s v="Charlie"/>
    <s v="Jones"/>
    <s v="Charlie Jones"/>
    <x v="3"/>
    <x v="1"/>
    <x v="5"/>
    <x v="0"/>
    <s v="28/08/2024"/>
    <x v="4"/>
    <x v="4"/>
    <n v="80623.08"/>
    <x v="1"/>
    <s v="Charlie.Jones@Example.Com"/>
    <n v="5671649327"/>
    <x v="1"/>
    <x v="1"/>
    <x v="0"/>
  </r>
  <r>
    <s v="EMP1213"/>
    <s v="David"/>
    <s v="Davis"/>
    <s v="David Davis"/>
    <x v="2"/>
    <x v="5"/>
    <x v="1"/>
    <x v="2"/>
    <s v="19/04/2020"/>
    <x v="1"/>
    <x v="1"/>
    <n v="77751.78"/>
    <x v="1"/>
    <s v="David.Davis@Example.Com"/>
    <n v="9802714871"/>
    <x v="1"/>
    <x v="1"/>
    <x v="1"/>
  </r>
  <r>
    <s v="EMP1214"/>
    <s v="Grace"/>
    <s v="Williams"/>
    <s v="Grace Williams"/>
    <x v="0"/>
    <x v="5"/>
    <x v="4"/>
    <x v="0"/>
    <s v="14/10/2021"/>
    <x v="0"/>
    <x v="0"/>
    <n v="115157.81"/>
    <x v="2"/>
    <s v="Grace.Williams@Example.Com"/>
    <n v="7178333210"/>
    <x v="2"/>
    <x v="2"/>
    <x v="1"/>
  </r>
  <r>
    <s v="EMP1215"/>
    <s v="Frank"/>
    <s v="Jones"/>
    <s v="Frank Jones"/>
    <x v="1"/>
    <x v="2"/>
    <x v="1"/>
    <x v="2"/>
    <s v="26/08/2024"/>
    <x v="4"/>
    <x v="4"/>
    <n v="83071.850000000006"/>
    <x v="1"/>
    <s v="Frank.Jones@Example.Com"/>
    <n v="6025643470"/>
    <x v="3"/>
    <x v="3"/>
    <x v="1"/>
  </r>
  <r>
    <s v="EMP1216"/>
    <s v="Heidi"/>
    <s v="Brown"/>
    <s v="Heidi Brown"/>
    <x v="2"/>
    <x v="4"/>
    <x v="1"/>
    <x v="0"/>
    <s v="02/08/2020"/>
    <x v="1"/>
    <x v="1"/>
    <n v="67914.67"/>
    <x v="1"/>
    <s v="Heidi.Brown@Example.Com"/>
    <n v="2871539914"/>
    <x v="1"/>
    <x v="1"/>
    <x v="0"/>
  </r>
  <r>
    <s v="EMP1217"/>
    <s v="Grace"/>
    <s v="Jones"/>
    <s v="Grace Jones"/>
    <x v="0"/>
    <x v="5"/>
    <x v="4"/>
    <x v="2"/>
    <s v="09/06/2020"/>
    <x v="1"/>
    <x v="1"/>
    <n v="53342.46"/>
    <x v="0"/>
    <s v="Grace.Jones@Example.Com"/>
    <n v="6686334140"/>
    <x v="3"/>
    <x v="3"/>
    <x v="1"/>
  </r>
  <r>
    <s v="EMP1218"/>
    <s v="Heidi"/>
    <s v="Garcia"/>
    <s v="Heidi Garcia"/>
    <x v="0"/>
    <x v="3"/>
    <x v="3"/>
    <x v="1"/>
    <s v="01/02/2023"/>
    <x v="2"/>
    <x v="2"/>
    <n v="51150.47"/>
    <x v="0"/>
    <s v="Heidi.Garcia@Example.Com"/>
    <n v="1159319524"/>
    <x v="1"/>
    <x v="1"/>
    <x v="1"/>
  </r>
  <r>
    <s v="EMP1219"/>
    <s v="David"/>
    <s v="Davis"/>
    <s v="David Davis"/>
    <x v="1"/>
    <x v="5"/>
    <x v="3"/>
    <x v="0"/>
    <s v="13/06/2023"/>
    <x v="2"/>
    <x v="2"/>
    <n v="74697.119999999995"/>
    <x v="1"/>
    <s v="David.Davis@Example.Com"/>
    <n v="6904098365"/>
    <x v="0"/>
    <x v="0"/>
    <x v="0"/>
  </r>
  <r>
    <s v="EMP1220"/>
    <s v="Charlie"/>
    <s v="Williams"/>
    <s v="Charlie Williams"/>
    <x v="0"/>
    <x v="4"/>
    <x v="0"/>
    <x v="0"/>
    <s v="13/12/2022"/>
    <x v="2"/>
    <x v="3"/>
    <n v="88085.74"/>
    <x v="2"/>
    <s v="Charlie.Williams@Example.Com"/>
    <n v="5528993159"/>
    <x v="1"/>
    <x v="1"/>
    <x v="0"/>
  </r>
  <r>
    <s v="EMP1221"/>
    <s v="Alice"/>
    <s v="Williams"/>
    <s v="Alice Williams"/>
    <x v="2"/>
    <x v="1"/>
    <x v="1"/>
    <x v="1"/>
    <s v="03/03/2022"/>
    <x v="3"/>
    <x v="3"/>
    <n v="118672.76"/>
    <x v="2"/>
    <s v="Alice.Williams@Example.Com"/>
    <n v="8752437728"/>
    <x v="3"/>
    <x v="3"/>
    <x v="1"/>
  </r>
  <r>
    <s v="EMP1222"/>
    <s v="Alice"/>
    <s v="Miller"/>
    <s v="Alice Miller"/>
    <x v="3"/>
    <x v="3"/>
    <x v="0"/>
    <x v="0"/>
    <s v="02/10/2024"/>
    <x v="4"/>
    <x v="4"/>
    <n v="95997.31"/>
    <x v="2"/>
    <s v="Alice.Miller@Example.Com"/>
    <n v="4209548148"/>
    <x v="0"/>
    <x v="0"/>
    <x v="1"/>
  </r>
  <r>
    <s v="EMP1223"/>
    <s v="Frank"/>
    <s v="Brown"/>
    <s v="Frank Brown"/>
    <x v="1"/>
    <x v="3"/>
    <x v="0"/>
    <x v="1"/>
    <s v="24/11/2021"/>
    <x v="3"/>
    <x v="0"/>
    <n v="106945.62"/>
    <x v="2"/>
    <s v="Frank.Brown@Example.Com"/>
    <n v="7374605232"/>
    <x v="0"/>
    <x v="0"/>
    <x v="1"/>
  </r>
  <r>
    <s v="EMP1224"/>
    <s v="Heidi"/>
    <s v="Johnson"/>
    <s v="Heidi Johnson"/>
    <x v="2"/>
    <x v="0"/>
    <x v="4"/>
    <x v="0"/>
    <s v="05/09/2020"/>
    <x v="1"/>
    <x v="1"/>
    <n v="100123.15"/>
    <x v="2"/>
    <s v="Heidi.Johnson@Example.Com"/>
    <n v="276420864"/>
    <x v="0"/>
    <x v="0"/>
    <x v="1"/>
  </r>
  <r>
    <s v="EMP1225"/>
    <s v="Alice"/>
    <s v="Johnson"/>
    <s v="Alice Johnson"/>
    <x v="3"/>
    <x v="2"/>
    <x v="1"/>
    <x v="0"/>
    <s v="19/12/2024"/>
    <x v="5"/>
    <x v="4"/>
    <n v="52933.42"/>
    <x v="0"/>
    <s v="Alice.Johnson@Example.Com"/>
    <n v="6756618442"/>
    <x v="3"/>
    <x v="3"/>
    <x v="0"/>
  </r>
  <r>
    <s v="EMP1226"/>
    <s v="Grace"/>
    <s v="Jones"/>
    <s v="Grace Jones"/>
    <x v="1"/>
    <x v="1"/>
    <x v="0"/>
    <x v="0"/>
    <s v="22/03/2024"/>
    <x v="4"/>
    <x v="4"/>
    <n v="95283.03"/>
    <x v="2"/>
    <s v="Grace.Jones@Example.Com"/>
    <n v="8612590471"/>
    <x v="2"/>
    <x v="2"/>
    <x v="1"/>
  </r>
  <r>
    <s v="EMP1227"/>
    <s v="Alice"/>
    <s v="Miller"/>
    <s v="Alice Miller"/>
    <x v="3"/>
    <x v="5"/>
    <x v="1"/>
    <x v="2"/>
    <s v="13/06/2022"/>
    <x v="3"/>
    <x v="3"/>
    <n v="112264.06"/>
    <x v="2"/>
    <s v="Alice.Miller@Example.Com"/>
    <n v="9277423329"/>
    <x v="2"/>
    <x v="2"/>
    <x v="1"/>
  </r>
  <r>
    <s v="EMP1228"/>
    <s v="Grace"/>
    <s v="Smith"/>
    <s v="Grace Smith"/>
    <x v="3"/>
    <x v="2"/>
    <x v="3"/>
    <x v="1"/>
    <s v="15/10/2022"/>
    <x v="3"/>
    <x v="3"/>
    <n v="75714.28"/>
    <x v="1"/>
    <s v="Grace.Smith@Example.Com"/>
    <n v="5912662014"/>
    <x v="2"/>
    <x v="2"/>
    <x v="0"/>
  </r>
  <r>
    <s v="EMP1229"/>
    <s v="Eva"/>
    <s v="Jones"/>
    <s v="Eva Jones"/>
    <x v="0"/>
    <x v="0"/>
    <x v="3"/>
    <x v="0"/>
    <s v="31/05/2022"/>
    <x v="3"/>
    <x v="3"/>
    <n v="92171.73"/>
    <x v="2"/>
    <s v="Eva.Jones@Example.Com"/>
    <n v="7201859625"/>
    <x v="3"/>
    <x v="3"/>
    <x v="1"/>
  </r>
  <r>
    <s v="EMP1230"/>
    <s v="Eva"/>
    <s v="Miller"/>
    <s v="Eva Miller"/>
    <x v="3"/>
    <x v="3"/>
    <x v="1"/>
    <x v="2"/>
    <s v="15/09/2023"/>
    <x v="2"/>
    <x v="2"/>
    <n v="70694.8"/>
    <x v="1"/>
    <s v="Eva.Miller@Example.Com"/>
    <n v="3013674925"/>
    <x v="0"/>
    <x v="0"/>
    <x v="0"/>
  </r>
  <r>
    <s v="EMP1231"/>
    <s v="Grace"/>
    <s v="Brown"/>
    <s v="Grace Brown"/>
    <x v="1"/>
    <x v="0"/>
    <x v="3"/>
    <x v="2"/>
    <s v="07/04/2022"/>
    <x v="3"/>
    <x v="3"/>
    <n v="52964.86"/>
    <x v="0"/>
    <s v="Grace.Brown@Example.Com"/>
    <n v="1764750110"/>
    <x v="2"/>
    <x v="2"/>
    <x v="0"/>
  </r>
  <r>
    <s v="EMP1232"/>
    <s v="Frank"/>
    <s v="Brown"/>
    <s v="Frank Brown"/>
    <x v="1"/>
    <x v="1"/>
    <x v="0"/>
    <x v="1"/>
    <s v="06/08/2024"/>
    <x v="4"/>
    <x v="4"/>
    <n v="116353.31"/>
    <x v="2"/>
    <s v="Frank.Brown@Example.Com"/>
    <n v="1783099973"/>
    <x v="3"/>
    <x v="3"/>
    <x v="0"/>
  </r>
  <r>
    <s v="EMP1233"/>
    <s v="Grace"/>
    <s v="Brown"/>
    <s v="Grace Brown"/>
    <x v="3"/>
    <x v="4"/>
    <x v="2"/>
    <x v="1"/>
    <s v="23/11/2020"/>
    <x v="1"/>
    <x v="1"/>
    <n v="116695.26"/>
    <x v="2"/>
    <s v="Grace.Brown@Example.Com"/>
    <n v="1926764920"/>
    <x v="2"/>
    <x v="2"/>
    <x v="1"/>
  </r>
  <r>
    <s v="EMP1234"/>
    <s v="Heidi"/>
    <s v="Brown"/>
    <s v="Heidi Brown"/>
    <x v="0"/>
    <x v="2"/>
    <x v="1"/>
    <x v="0"/>
    <s v="13/05/2024"/>
    <x v="4"/>
    <x v="4"/>
    <n v="95161.4"/>
    <x v="2"/>
    <s v="Heidi.Brown@Example.Com"/>
    <n v="5182606887"/>
    <x v="1"/>
    <x v="1"/>
    <x v="1"/>
  </r>
  <r>
    <s v="EMP1235"/>
    <s v="Alice"/>
    <s v="Brown"/>
    <s v="Alice Brown"/>
    <x v="1"/>
    <x v="2"/>
    <x v="2"/>
    <x v="2"/>
    <s v="29/01/2022"/>
    <x v="3"/>
    <x v="3"/>
    <n v="76040.94"/>
    <x v="1"/>
    <s v="Alice.Brown@Example.Com"/>
    <n v="7189813128"/>
    <x v="2"/>
    <x v="2"/>
    <x v="0"/>
  </r>
  <r>
    <s v="EMP1236"/>
    <s v="Charlie"/>
    <s v="Miller"/>
    <s v="Charlie Miller"/>
    <x v="1"/>
    <x v="5"/>
    <x v="3"/>
    <x v="2"/>
    <s v="23/08/2023"/>
    <x v="2"/>
    <x v="2"/>
    <n v="69508.28"/>
    <x v="1"/>
    <s v="Charlie.Miller@Example.Com"/>
    <n v="2087510292"/>
    <x v="2"/>
    <x v="2"/>
    <x v="1"/>
  </r>
  <r>
    <s v="EMP1237"/>
    <s v="Alice"/>
    <s v="Miller"/>
    <s v="Alice Miller"/>
    <x v="1"/>
    <x v="1"/>
    <x v="5"/>
    <x v="2"/>
    <s v="24/02/2023"/>
    <x v="2"/>
    <x v="2"/>
    <n v="58243.27"/>
    <x v="0"/>
    <s v="Alice.Miller@Example.Com"/>
    <n v="2184011844"/>
    <x v="0"/>
    <x v="0"/>
    <x v="1"/>
  </r>
  <r>
    <s v="EMP1238"/>
    <s v="Heidi"/>
    <s v="Williams"/>
    <s v="Heidi Williams"/>
    <x v="1"/>
    <x v="4"/>
    <x v="0"/>
    <x v="1"/>
    <s v="10/02/2022"/>
    <x v="3"/>
    <x v="3"/>
    <n v="64012.480000000003"/>
    <x v="1"/>
    <s v="Heidi.Williams@Example.Com"/>
    <n v="8260340847"/>
    <x v="3"/>
    <x v="3"/>
    <x v="0"/>
  </r>
  <r>
    <s v="EMP1239"/>
    <s v="Bob"/>
    <s v="Garcia"/>
    <s v="Bob Garcia"/>
    <x v="2"/>
    <x v="2"/>
    <x v="2"/>
    <x v="2"/>
    <s v="28/06/2020"/>
    <x v="1"/>
    <x v="1"/>
    <n v="106735.93"/>
    <x v="2"/>
    <s v="Bob.Garcia@Example.Com"/>
    <n v="7297585987"/>
    <x v="0"/>
    <x v="0"/>
    <x v="0"/>
  </r>
  <r>
    <s v="EMP1240"/>
    <s v="Frank"/>
    <s v="Johnson"/>
    <s v="Frank Johnson"/>
    <x v="3"/>
    <x v="0"/>
    <x v="1"/>
    <x v="1"/>
    <s v="15/01/2023"/>
    <x v="2"/>
    <x v="2"/>
    <n v="70325.36"/>
    <x v="1"/>
    <s v="Frank.Johnson@Example.Com"/>
    <n v="3103032431"/>
    <x v="0"/>
    <x v="0"/>
    <x v="1"/>
  </r>
  <r>
    <s v="EMP1241"/>
    <s v="Charlie"/>
    <s v="Davis"/>
    <s v="Charlie Davis"/>
    <x v="1"/>
    <x v="5"/>
    <x v="5"/>
    <x v="0"/>
    <s v="09/05/2020"/>
    <x v="1"/>
    <x v="1"/>
    <n v="118959.28"/>
    <x v="2"/>
    <s v="Charlie.Davis@Example.Com"/>
    <n v="9839542960"/>
    <x v="0"/>
    <x v="0"/>
    <x v="0"/>
  </r>
  <r>
    <s v="EMP1242"/>
    <s v="David"/>
    <s v="Brown"/>
    <s v="David Brown"/>
    <x v="2"/>
    <x v="3"/>
    <x v="0"/>
    <x v="1"/>
    <s v="18/03/2023"/>
    <x v="2"/>
    <x v="2"/>
    <n v="75823.78"/>
    <x v="1"/>
    <s v="David.Brown@Example.Com"/>
    <n v="8446267145"/>
    <x v="0"/>
    <x v="0"/>
    <x v="1"/>
  </r>
  <r>
    <s v="EMP1243"/>
    <s v="Charlie"/>
    <s v="Smith"/>
    <s v="Charlie Smith"/>
    <x v="1"/>
    <x v="3"/>
    <x v="1"/>
    <x v="2"/>
    <s v="26/03/2022"/>
    <x v="3"/>
    <x v="3"/>
    <n v="119971.65"/>
    <x v="2"/>
    <s v="Charlie.Smith@Example.Com"/>
    <n v="2831435988"/>
    <x v="0"/>
    <x v="0"/>
    <x v="1"/>
  </r>
  <r>
    <s v="EMP1244"/>
    <s v="Grace"/>
    <s v="Davis"/>
    <s v="Grace Davis"/>
    <x v="2"/>
    <x v="4"/>
    <x v="1"/>
    <x v="0"/>
    <s v="10/11/2021"/>
    <x v="0"/>
    <x v="0"/>
    <n v="94963.7"/>
    <x v="2"/>
    <s v="Grace.Davis@Example.Com"/>
    <n v="2625660930"/>
    <x v="2"/>
    <x v="2"/>
    <x v="1"/>
  </r>
  <r>
    <s v="EMP1245"/>
    <s v="Frank"/>
    <s v="Miller"/>
    <s v="Frank Miller"/>
    <x v="1"/>
    <x v="4"/>
    <x v="2"/>
    <x v="1"/>
    <s v="01/07/2021"/>
    <x v="0"/>
    <x v="0"/>
    <n v="103744.71"/>
    <x v="2"/>
    <s v="Frank.Miller@Example.Com"/>
    <n v="4181861514"/>
    <x v="0"/>
    <x v="0"/>
    <x v="1"/>
  </r>
  <r>
    <s v="EMP1246"/>
    <s v="Alice"/>
    <s v="Smith"/>
    <s v="Alice Smith"/>
    <x v="0"/>
    <x v="4"/>
    <x v="4"/>
    <x v="2"/>
    <s v="12/03/2020"/>
    <x v="1"/>
    <x v="1"/>
    <n v="61337.69"/>
    <x v="1"/>
    <s v="Alice.Smith@Example.Com"/>
    <n v="5423401635"/>
    <x v="0"/>
    <x v="0"/>
    <x v="0"/>
  </r>
  <r>
    <s v="EMP1247"/>
    <s v="David"/>
    <s v="Smith"/>
    <s v="David Smith"/>
    <x v="3"/>
    <x v="4"/>
    <x v="0"/>
    <x v="0"/>
    <s v="28/05/2021"/>
    <x v="0"/>
    <x v="0"/>
    <n v="63741.13"/>
    <x v="1"/>
    <s v="David.Smith@Example.Com"/>
    <n v="1128497184"/>
    <x v="3"/>
    <x v="3"/>
    <x v="0"/>
  </r>
  <r>
    <s v="EMP1248"/>
    <s v="Eva"/>
    <s v="Smith"/>
    <s v="Eva Smith"/>
    <x v="1"/>
    <x v="0"/>
    <x v="0"/>
    <x v="1"/>
    <s v="28/12/2022"/>
    <x v="2"/>
    <x v="3"/>
    <n v="56539.99"/>
    <x v="0"/>
    <s v="Eva.Smith@Example.Com"/>
    <n v="9484910255"/>
    <x v="1"/>
    <x v="1"/>
    <x v="0"/>
  </r>
  <r>
    <s v="EMP1249"/>
    <s v="Charlie"/>
    <s v="Williams"/>
    <s v="Charlie Williams"/>
    <x v="1"/>
    <x v="0"/>
    <x v="5"/>
    <x v="1"/>
    <s v="24/05/2023"/>
    <x v="2"/>
    <x v="2"/>
    <n v="73633.37"/>
    <x v="1"/>
    <s v="Charlie.Williams@Example.Com"/>
    <n v="2588967923"/>
    <x v="2"/>
    <x v="2"/>
    <x v="0"/>
  </r>
  <r>
    <s v="EMP1250"/>
    <s v="Alice"/>
    <s v="Miller"/>
    <s v="Alice Miller"/>
    <x v="0"/>
    <x v="3"/>
    <x v="1"/>
    <x v="1"/>
    <s v="28/04/2024"/>
    <x v="4"/>
    <x v="4"/>
    <n v="90373.99"/>
    <x v="2"/>
    <s v="Alice.Miller@Example.Com"/>
    <n v="822269404"/>
    <x v="2"/>
    <x v="2"/>
    <x v="1"/>
  </r>
  <r>
    <s v="EMP1251"/>
    <s v="Grace"/>
    <s v="Smith"/>
    <s v="Grace Smith"/>
    <x v="1"/>
    <x v="0"/>
    <x v="1"/>
    <x v="2"/>
    <s v="25/12/2024"/>
    <x v="5"/>
    <x v="4"/>
    <n v="93901.48"/>
    <x v="2"/>
    <s v="Grace.Smith@Example.Com"/>
    <n v="3967275783"/>
    <x v="2"/>
    <x v="2"/>
    <x v="1"/>
  </r>
  <r>
    <s v="EMP1252"/>
    <s v="Eva"/>
    <s v="Brown"/>
    <s v="Eva Brown"/>
    <x v="2"/>
    <x v="2"/>
    <x v="2"/>
    <x v="2"/>
    <s v="09/01/2021"/>
    <x v="0"/>
    <x v="0"/>
    <n v="81748.09"/>
    <x v="1"/>
    <s v="Eva.Brown@Example.Com"/>
    <n v="4683414650"/>
    <x v="0"/>
    <x v="0"/>
    <x v="0"/>
  </r>
  <r>
    <s v="EMP1253"/>
    <s v="Charlie"/>
    <s v="Jones"/>
    <s v="Charlie Jones"/>
    <x v="2"/>
    <x v="1"/>
    <x v="3"/>
    <x v="2"/>
    <s v="21/02/2021"/>
    <x v="0"/>
    <x v="0"/>
    <n v="73813.48"/>
    <x v="1"/>
    <s v="Charlie.Jones@Example.Com"/>
    <n v="1131290147"/>
    <x v="0"/>
    <x v="0"/>
    <x v="1"/>
  </r>
  <r>
    <s v="EMP1254"/>
    <s v="Frank"/>
    <s v="Smith"/>
    <s v="Frank Smith"/>
    <x v="3"/>
    <x v="1"/>
    <x v="4"/>
    <x v="2"/>
    <s v="20/11/2022"/>
    <x v="3"/>
    <x v="3"/>
    <n v="89315.59"/>
    <x v="2"/>
    <s v="Frank.Smith@Example.Com"/>
    <n v="7068277880"/>
    <x v="0"/>
    <x v="0"/>
    <x v="1"/>
  </r>
  <r>
    <s v="EMP1255"/>
    <s v="Heidi"/>
    <s v="Williams"/>
    <s v="Heidi Williams"/>
    <x v="0"/>
    <x v="5"/>
    <x v="3"/>
    <x v="0"/>
    <s v="15/10/2020"/>
    <x v="1"/>
    <x v="1"/>
    <n v="56776.82"/>
    <x v="0"/>
    <s v="Heidi.Williams@Example.Com"/>
    <n v="6093068537"/>
    <x v="3"/>
    <x v="3"/>
    <x v="1"/>
  </r>
  <r>
    <s v="EMP1256"/>
    <s v="Grace"/>
    <s v="Davis"/>
    <s v="Grace Davis"/>
    <x v="1"/>
    <x v="1"/>
    <x v="4"/>
    <x v="0"/>
    <s v="24/07/2024"/>
    <x v="4"/>
    <x v="4"/>
    <n v="72920.509999999995"/>
    <x v="1"/>
    <s v="Grace.Davis@Example.Com"/>
    <n v="9097283214"/>
    <x v="1"/>
    <x v="1"/>
    <x v="0"/>
  </r>
  <r>
    <s v="EMP1257"/>
    <s v="Frank"/>
    <s v="Miller"/>
    <s v="Frank Miller"/>
    <x v="1"/>
    <x v="2"/>
    <x v="3"/>
    <x v="1"/>
    <s v="14/08/2022"/>
    <x v="3"/>
    <x v="3"/>
    <n v="84913.18"/>
    <x v="1"/>
    <s v="Frank.Miller@Example.Com"/>
    <n v="2850676250"/>
    <x v="0"/>
    <x v="0"/>
    <x v="0"/>
  </r>
  <r>
    <s v="EMP1258"/>
    <s v="Alice"/>
    <s v="Garcia"/>
    <s v="Alice Garcia"/>
    <x v="0"/>
    <x v="1"/>
    <x v="5"/>
    <x v="2"/>
    <s v="05/08/2021"/>
    <x v="0"/>
    <x v="0"/>
    <n v="65060.11"/>
    <x v="1"/>
    <s v="Alice.Garcia@Example.Com"/>
    <n v="5381447442"/>
    <x v="1"/>
    <x v="1"/>
    <x v="0"/>
  </r>
  <r>
    <s v="EMP1259"/>
    <s v="Alice"/>
    <s v="Williams"/>
    <s v="Alice Williams"/>
    <x v="3"/>
    <x v="1"/>
    <x v="5"/>
    <x v="1"/>
    <s v="10/09/2023"/>
    <x v="2"/>
    <x v="2"/>
    <n v="82941.08"/>
    <x v="1"/>
    <s v="Alice.Williams@Example.Com"/>
    <n v="963480796"/>
    <x v="3"/>
    <x v="3"/>
    <x v="1"/>
  </r>
  <r>
    <s v="EMP1260"/>
    <s v="Bob"/>
    <s v="Smith"/>
    <s v="Bob Smith"/>
    <x v="2"/>
    <x v="2"/>
    <x v="0"/>
    <x v="1"/>
    <s v="19/01/2022"/>
    <x v="3"/>
    <x v="3"/>
    <n v="103469.97"/>
    <x v="2"/>
    <s v="Bob.Smith@Example.Com"/>
    <n v="509754509"/>
    <x v="2"/>
    <x v="2"/>
    <x v="0"/>
  </r>
  <r>
    <s v="EMP1261"/>
    <s v="Grace"/>
    <s v="Miller"/>
    <s v="Grace Miller"/>
    <x v="0"/>
    <x v="4"/>
    <x v="5"/>
    <x v="0"/>
    <s v="01/12/2022"/>
    <x v="2"/>
    <x v="3"/>
    <n v="88725.6"/>
    <x v="2"/>
    <s v="Grace.Miller@Example.Com"/>
    <n v="5265016730"/>
    <x v="0"/>
    <x v="0"/>
    <x v="0"/>
  </r>
  <r>
    <s v="EMP1262"/>
    <s v="Heidi"/>
    <s v="Jones"/>
    <s v="Heidi Jones"/>
    <x v="1"/>
    <x v="5"/>
    <x v="5"/>
    <x v="1"/>
    <s v="06/05/2023"/>
    <x v="2"/>
    <x v="2"/>
    <n v="58316.77"/>
    <x v="0"/>
    <s v="Heidi.Jones@Example.Com"/>
    <n v="8826170242"/>
    <x v="1"/>
    <x v="1"/>
    <x v="0"/>
  </r>
  <r>
    <s v="EMP1263"/>
    <s v="Grace"/>
    <s v="Smith"/>
    <s v="Grace Smith"/>
    <x v="3"/>
    <x v="5"/>
    <x v="5"/>
    <x v="2"/>
    <s v="26/03/2024"/>
    <x v="4"/>
    <x v="4"/>
    <n v="60098.720000000001"/>
    <x v="1"/>
    <s v="Grace.Smith@Example.Com"/>
    <n v="7654562840"/>
    <x v="1"/>
    <x v="1"/>
    <x v="0"/>
  </r>
  <r>
    <s v="EMP1264"/>
    <s v="Grace"/>
    <s v="Williams"/>
    <s v="Grace Williams"/>
    <x v="1"/>
    <x v="3"/>
    <x v="1"/>
    <x v="0"/>
    <s v="10/07/2020"/>
    <x v="1"/>
    <x v="1"/>
    <n v="99951.43"/>
    <x v="2"/>
    <s v="Grace.Williams@Example.Com"/>
    <n v="7722560530"/>
    <x v="0"/>
    <x v="0"/>
    <x v="0"/>
  </r>
  <r>
    <s v="EMP1265"/>
    <s v="Heidi"/>
    <s v="Johnson"/>
    <s v="Heidi Johnson"/>
    <x v="1"/>
    <x v="4"/>
    <x v="5"/>
    <x v="0"/>
    <s v="11/02/2021"/>
    <x v="0"/>
    <x v="0"/>
    <n v="115195.81"/>
    <x v="2"/>
    <s v="Heidi.Johnson@Example.Com"/>
    <n v="3402665022"/>
    <x v="2"/>
    <x v="2"/>
    <x v="0"/>
  </r>
  <r>
    <s v="EMP1266"/>
    <s v="Grace"/>
    <s v="Brown"/>
    <s v="Grace Brown"/>
    <x v="1"/>
    <x v="0"/>
    <x v="0"/>
    <x v="1"/>
    <s v="19/11/2021"/>
    <x v="0"/>
    <x v="0"/>
    <n v="85512.05"/>
    <x v="2"/>
    <s v="Grace.Brown@Example.Com"/>
    <n v="7416787255"/>
    <x v="2"/>
    <x v="2"/>
    <x v="1"/>
  </r>
  <r>
    <s v="EMP1267"/>
    <s v="Heidi"/>
    <s v="Garcia"/>
    <s v="Heidi Garcia"/>
    <x v="1"/>
    <x v="5"/>
    <x v="3"/>
    <x v="0"/>
    <s v="24/01/2022"/>
    <x v="3"/>
    <x v="3"/>
    <n v="73186.77"/>
    <x v="1"/>
    <s v="Heidi.Garcia@Example.Com"/>
    <n v="8621102257"/>
    <x v="2"/>
    <x v="2"/>
    <x v="1"/>
  </r>
  <r>
    <s v="EMP1268"/>
    <s v="Grace"/>
    <s v="Davis"/>
    <s v="Grace Davis"/>
    <x v="1"/>
    <x v="5"/>
    <x v="2"/>
    <x v="1"/>
    <s v="07/12/2023"/>
    <x v="4"/>
    <x v="2"/>
    <n v="51865.3"/>
    <x v="0"/>
    <s v="Grace.Davis@Example.Com"/>
    <n v="305690673"/>
    <x v="3"/>
    <x v="3"/>
    <x v="0"/>
  </r>
  <r>
    <s v="EMP1269"/>
    <s v="David"/>
    <s v="Williams"/>
    <s v="David Williams"/>
    <x v="0"/>
    <x v="4"/>
    <x v="3"/>
    <x v="0"/>
    <s v="12/09/2022"/>
    <x v="3"/>
    <x v="3"/>
    <n v="94031.77"/>
    <x v="2"/>
    <s v="David.Williams@Example.Com"/>
    <n v="4716392822"/>
    <x v="1"/>
    <x v="1"/>
    <x v="0"/>
  </r>
  <r>
    <s v="EMP1270"/>
    <s v="Grace"/>
    <s v="Miller"/>
    <s v="Grace Miller"/>
    <x v="1"/>
    <x v="0"/>
    <x v="4"/>
    <x v="0"/>
    <s v="18/03/2023"/>
    <x v="2"/>
    <x v="2"/>
    <n v="116374.36"/>
    <x v="2"/>
    <s v="Grace.Miller@Example.Com"/>
    <n v="4143637188"/>
    <x v="1"/>
    <x v="1"/>
    <x v="1"/>
  </r>
  <r>
    <s v="EMP1271"/>
    <s v="Alice"/>
    <s v="Garcia"/>
    <s v="Alice Garcia"/>
    <x v="2"/>
    <x v="5"/>
    <x v="3"/>
    <x v="0"/>
    <s v="25/04/2022"/>
    <x v="3"/>
    <x v="3"/>
    <n v="98335.02"/>
    <x v="2"/>
    <s v="Alice.Garcia@Example.Com"/>
    <n v="2392312603"/>
    <x v="1"/>
    <x v="1"/>
    <x v="1"/>
  </r>
  <r>
    <s v="EMP1272"/>
    <s v="Heidi"/>
    <s v="Garcia"/>
    <s v="Heidi Garcia"/>
    <x v="0"/>
    <x v="0"/>
    <x v="4"/>
    <x v="1"/>
    <s v="28/02/2021"/>
    <x v="0"/>
    <x v="0"/>
    <n v="89262.07"/>
    <x v="2"/>
    <s v="Heidi.Garcia@Example.Com"/>
    <n v="3260931065"/>
    <x v="3"/>
    <x v="3"/>
    <x v="0"/>
  </r>
  <r>
    <s v="EMP1273"/>
    <s v="Heidi"/>
    <s v="Garcia"/>
    <s v="Heidi Garcia"/>
    <x v="1"/>
    <x v="1"/>
    <x v="0"/>
    <x v="0"/>
    <s v="30/07/2022"/>
    <x v="3"/>
    <x v="3"/>
    <n v="113848.69"/>
    <x v="2"/>
    <s v="Heidi.Garcia@Example.Com"/>
    <n v="8433567085"/>
    <x v="1"/>
    <x v="1"/>
    <x v="0"/>
  </r>
  <r>
    <s v="EMP1274"/>
    <s v="Frank"/>
    <s v="Smith"/>
    <s v="Frank Smith"/>
    <x v="3"/>
    <x v="4"/>
    <x v="3"/>
    <x v="0"/>
    <s v="19/05/2021"/>
    <x v="0"/>
    <x v="0"/>
    <n v="69530.45"/>
    <x v="1"/>
    <s v="Frank.Smith@Example.Com"/>
    <n v="414545634"/>
    <x v="3"/>
    <x v="3"/>
    <x v="0"/>
  </r>
  <r>
    <s v="EMP1275"/>
    <s v="Eva"/>
    <s v="Brown"/>
    <s v="Eva Brown"/>
    <x v="3"/>
    <x v="0"/>
    <x v="4"/>
    <x v="1"/>
    <s v="14/12/2023"/>
    <x v="4"/>
    <x v="2"/>
    <n v="84230.22"/>
    <x v="1"/>
    <s v="Eva.Brown@Example.Com"/>
    <n v="200053473"/>
    <x v="2"/>
    <x v="2"/>
    <x v="0"/>
  </r>
  <r>
    <s v="EMP1276"/>
    <s v="Eva"/>
    <s v="Smith"/>
    <s v="Eva Smith"/>
    <x v="3"/>
    <x v="3"/>
    <x v="5"/>
    <x v="1"/>
    <s v="17/01/2023"/>
    <x v="2"/>
    <x v="2"/>
    <n v="76578.59"/>
    <x v="1"/>
    <s v="Eva.Smith@Example.Com"/>
    <n v="9162475540"/>
    <x v="0"/>
    <x v="0"/>
    <x v="1"/>
  </r>
  <r>
    <s v="EMP1277"/>
    <s v="Frank"/>
    <s v="Miller"/>
    <s v="Frank Miller"/>
    <x v="1"/>
    <x v="5"/>
    <x v="1"/>
    <x v="2"/>
    <s v="01/02/2024"/>
    <x v="4"/>
    <x v="4"/>
    <n v="55532.06"/>
    <x v="0"/>
    <s v="Frank.Miller@Example.Com"/>
    <n v="1082555988"/>
    <x v="1"/>
    <x v="1"/>
    <x v="0"/>
  </r>
  <r>
    <s v="EMP1278"/>
    <s v="Eva"/>
    <s v="Smith"/>
    <s v="Eva Smith"/>
    <x v="2"/>
    <x v="2"/>
    <x v="4"/>
    <x v="1"/>
    <s v="07/09/2021"/>
    <x v="0"/>
    <x v="0"/>
    <n v="115311.67999999999"/>
    <x v="2"/>
    <s v="Eva.Smith@Example.Com"/>
    <n v="5343961128"/>
    <x v="1"/>
    <x v="1"/>
    <x v="0"/>
  </r>
  <r>
    <s v="EMP1279"/>
    <s v="Charlie"/>
    <s v="Johnson"/>
    <s v="Charlie Johnson"/>
    <x v="0"/>
    <x v="4"/>
    <x v="2"/>
    <x v="1"/>
    <s v="05/05/2021"/>
    <x v="0"/>
    <x v="0"/>
    <n v="66972.06"/>
    <x v="1"/>
    <s v="Charlie.Johnson@Example.Com"/>
    <n v="1093371188"/>
    <x v="2"/>
    <x v="2"/>
    <x v="0"/>
  </r>
  <r>
    <s v="EMP1280"/>
    <s v="David"/>
    <s v="Brown"/>
    <s v="David Brown"/>
    <x v="1"/>
    <x v="3"/>
    <x v="1"/>
    <x v="2"/>
    <s v="11/07/2021"/>
    <x v="0"/>
    <x v="0"/>
    <n v="100215.06"/>
    <x v="2"/>
    <s v="David.Brown@Example.Com"/>
    <n v="5473820235"/>
    <x v="0"/>
    <x v="0"/>
    <x v="0"/>
  </r>
  <r>
    <s v="EMP1281"/>
    <s v="Charlie"/>
    <s v="Brown"/>
    <s v="Charlie Brown"/>
    <x v="0"/>
    <x v="4"/>
    <x v="4"/>
    <x v="2"/>
    <s v="30/08/2023"/>
    <x v="2"/>
    <x v="2"/>
    <n v="115452.25"/>
    <x v="2"/>
    <s v="Charlie.Brown@Example.Com"/>
    <n v="8485571616"/>
    <x v="3"/>
    <x v="3"/>
    <x v="1"/>
  </r>
  <r>
    <s v="EMP1282"/>
    <s v="Heidi"/>
    <s v="Miller"/>
    <s v="Heidi Miller"/>
    <x v="1"/>
    <x v="5"/>
    <x v="0"/>
    <x v="2"/>
    <s v="15/08/2023"/>
    <x v="2"/>
    <x v="2"/>
    <n v="54141.38"/>
    <x v="0"/>
    <s v="Heidi.Miller@Example.Com"/>
    <n v="6880294239"/>
    <x v="0"/>
    <x v="0"/>
    <x v="1"/>
  </r>
  <r>
    <s v="EMP1283"/>
    <s v="David"/>
    <s v="Davis"/>
    <s v="David Davis"/>
    <x v="1"/>
    <x v="0"/>
    <x v="2"/>
    <x v="0"/>
    <s v="24/12/2020"/>
    <x v="0"/>
    <x v="1"/>
    <n v="79251.95"/>
    <x v="1"/>
    <s v="David.Davis@Example.Com"/>
    <n v="9036788126"/>
    <x v="2"/>
    <x v="2"/>
    <x v="1"/>
  </r>
  <r>
    <s v="EMP1284"/>
    <s v="Alice"/>
    <s v="Johnson"/>
    <s v="Alice Johnson"/>
    <x v="2"/>
    <x v="1"/>
    <x v="4"/>
    <x v="1"/>
    <s v="21/11/2024"/>
    <x v="4"/>
    <x v="4"/>
    <n v="114822.78"/>
    <x v="2"/>
    <s v="Alice.Johnson@Example.Com"/>
    <n v="8686694319"/>
    <x v="2"/>
    <x v="2"/>
    <x v="0"/>
  </r>
  <r>
    <s v="EMP1285"/>
    <s v="Alice"/>
    <s v="Williams"/>
    <s v="Alice Williams"/>
    <x v="3"/>
    <x v="4"/>
    <x v="5"/>
    <x v="0"/>
    <s v="17/11/2021"/>
    <x v="0"/>
    <x v="0"/>
    <n v="69919.320000000007"/>
    <x v="1"/>
    <s v="Alice.Williams@Example.Com"/>
    <n v="2939087883"/>
    <x v="0"/>
    <x v="0"/>
    <x v="0"/>
  </r>
  <r>
    <s v="EMP1286"/>
    <s v="Heidi"/>
    <s v="Smith"/>
    <s v="Heidi Smith"/>
    <x v="1"/>
    <x v="4"/>
    <x v="3"/>
    <x v="2"/>
    <s v="29/01/2021"/>
    <x v="0"/>
    <x v="0"/>
    <n v="106616.97"/>
    <x v="2"/>
    <s v="Heidi.Smith@Example.Com"/>
    <n v="4344812307"/>
    <x v="3"/>
    <x v="3"/>
    <x v="1"/>
  </r>
  <r>
    <s v="EMP1287"/>
    <s v="Heidi"/>
    <s v="Jones"/>
    <s v="Heidi Jones"/>
    <x v="3"/>
    <x v="0"/>
    <x v="4"/>
    <x v="0"/>
    <s v="17/02/2024"/>
    <x v="4"/>
    <x v="4"/>
    <n v="73597.850000000006"/>
    <x v="1"/>
    <s v="Heidi.Jones@Example.Com"/>
    <n v="3402424032"/>
    <x v="3"/>
    <x v="3"/>
    <x v="0"/>
  </r>
  <r>
    <s v="EMP1288"/>
    <s v="David"/>
    <s v="Smith"/>
    <s v="David Smith"/>
    <x v="1"/>
    <x v="4"/>
    <x v="2"/>
    <x v="2"/>
    <s v="20/08/2024"/>
    <x v="4"/>
    <x v="4"/>
    <n v="79939.23"/>
    <x v="1"/>
    <s v="David.Smith@Example.Com"/>
    <n v="8105955183"/>
    <x v="1"/>
    <x v="1"/>
    <x v="0"/>
  </r>
  <r>
    <s v="EMP1289"/>
    <s v="Grace"/>
    <s v="Garcia"/>
    <s v="Grace Garcia"/>
    <x v="0"/>
    <x v="2"/>
    <x v="4"/>
    <x v="2"/>
    <s v="24/10/2021"/>
    <x v="0"/>
    <x v="0"/>
    <n v="0"/>
    <x v="0"/>
    <s v="Grace.Garcia@Example.Com"/>
    <n v="2694500533"/>
    <x v="3"/>
    <x v="3"/>
    <x v="1"/>
  </r>
  <r>
    <s v="EMP1290"/>
    <s v="Grace"/>
    <s v="Smith"/>
    <s v="Grace Smith"/>
    <x v="1"/>
    <x v="1"/>
    <x v="0"/>
    <x v="2"/>
    <s v="09/10/2021"/>
    <x v="0"/>
    <x v="0"/>
    <n v="90772.25"/>
    <x v="2"/>
    <s v="Grace.Smith@Example.Com"/>
    <n v="2408916497"/>
    <x v="0"/>
    <x v="0"/>
    <x v="1"/>
  </r>
  <r>
    <s v="EMP1291"/>
    <s v="Eva"/>
    <s v="Williams"/>
    <s v="Eva Williams"/>
    <x v="3"/>
    <x v="0"/>
    <x v="4"/>
    <x v="0"/>
    <s v="29/09/2023"/>
    <x v="2"/>
    <x v="2"/>
    <n v="58275.74"/>
    <x v="0"/>
    <s v="Eva.Williams@Example.Com"/>
    <n v="3735439626"/>
    <x v="2"/>
    <x v="2"/>
    <x v="1"/>
  </r>
  <r>
    <s v="EMP1292"/>
    <s v="Grace"/>
    <s v="Smith"/>
    <s v="Grace Smith"/>
    <x v="1"/>
    <x v="0"/>
    <x v="0"/>
    <x v="1"/>
    <s v="28/08/2020"/>
    <x v="1"/>
    <x v="1"/>
    <n v="94709.79"/>
    <x v="2"/>
    <s v="Grace.Smith@Example.Com"/>
    <n v="3652717271"/>
    <x v="1"/>
    <x v="1"/>
    <x v="1"/>
  </r>
  <r>
    <s v="EMP1293"/>
    <s v="Frank"/>
    <s v="Johnson"/>
    <s v="Frank Johnson"/>
    <x v="1"/>
    <x v="2"/>
    <x v="4"/>
    <x v="0"/>
    <s v="09/06/2022"/>
    <x v="3"/>
    <x v="3"/>
    <n v="60722.99"/>
    <x v="1"/>
    <s v="Frank.Johnson@Example.Com"/>
    <n v="2397240421"/>
    <x v="1"/>
    <x v="1"/>
    <x v="0"/>
  </r>
  <r>
    <s v="EMP1294"/>
    <s v="Frank"/>
    <s v="Johnson"/>
    <s v="Frank Johnson"/>
    <x v="2"/>
    <x v="0"/>
    <x v="5"/>
    <x v="2"/>
    <s v="31/03/2024"/>
    <x v="4"/>
    <x v="4"/>
    <n v="87626.240000000005"/>
    <x v="2"/>
    <s v="Frank.Johnson@Example.Com"/>
    <n v="6931216375"/>
    <x v="2"/>
    <x v="2"/>
    <x v="0"/>
  </r>
  <r>
    <s v="EMP1295"/>
    <s v="David"/>
    <s v="Brown"/>
    <s v="David Brown"/>
    <x v="1"/>
    <x v="0"/>
    <x v="5"/>
    <x v="0"/>
    <s v="12/12/2022"/>
    <x v="2"/>
    <x v="3"/>
    <n v="81272.36"/>
    <x v="1"/>
    <s v="David.Brown@Example.Com"/>
    <n v="1820916600"/>
    <x v="3"/>
    <x v="3"/>
    <x v="1"/>
  </r>
  <r>
    <s v="EMP1296"/>
    <s v="Bob"/>
    <s v="Miller"/>
    <s v="Bob Miller"/>
    <x v="1"/>
    <x v="3"/>
    <x v="1"/>
    <x v="1"/>
    <s v="11/01/2022"/>
    <x v="3"/>
    <x v="3"/>
    <n v="64150.97"/>
    <x v="1"/>
    <s v="Bob.Miller@Example.Com"/>
    <n v="23142899"/>
    <x v="2"/>
    <x v="2"/>
    <x v="0"/>
  </r>
  <r>
    <s v="EMP1297"/>
    <s v="Charlie"/>
    <s v="Davis"/>
    <s v="Charlie Davis"/>
    <x v="3"/>
    <x v="4"/>
    <x v="3"/>
    <x v="0"/>
    <s v="25/10/2023"/>
    <x v="2"/>
    <x v="2"/>
    <n v="64378.1"/>
    <x v="1"/>
    <s v="Charlie.Davis@Example.Com"/>
    <n v="1851327971"/>
    <x v="3"/>
    <x v="3"/>
    <x v="1"/>
  </r>
  <r>
    <s v="EMP1298"/>
    <s v="Bob"/>
    <s v="Jones"/>
    <s v="Bob Jones"/>
    <x v="1"/>
    <x v="1"/>
    <x v="1"/>
    <x v="2"/>
    <s v="27/09/2020"/>
    <x v="1"/>
    <x v="1"/>
    <n v="85927.35"/>
    <x v="2"/>
    <s v="Bob.Jones@Example.Com"/>
    <n v="4572308480"/>
    <x v="2"/>
    <x v="2"/>
    <x v="1"/>
  </r>
  <r>
    <s v="EMP1299"/>
    <s v="Alice"/>
    <s v="Garcia"/>
    <s v="Alice Garcia"/>
    <x v="1"/>
    <x v="1"/>
    <x v="2"/>
    <x v="2"/>
    <s v="21/01/2024"/>
    <x v="4"/>
    <x v="4"/>
    <n v="51523.93"/>
    <x v="0"/>
    <s v="Alice.Garcia@Example.Com"/>
    <n v="18418619"/>
    <x v="0"/>
    <x v="0"/>
    <x v="0"/>
  </r>
  <r>
    <s v="EMP1300"/>
    <s v="Alice"/>
    <s v="Smith"/>
    <s v="Alice Smith"/>
    <x v="1"/>
    <x v="4"/>
    <x v="1"/>
    <x v="0"/>
    <s v="17/05/2022"/>
    <x v="3"/>
    <x v="3"/>
    <n v="74117.02"/>
    <x v="1"/>
    <s v="Alice.Smith@Example.Com"/>
    <n v="3036625435"/>
    <x v="3"/>
    <x v="3"/>
    <x v="1"/>
  </r>
  <r>
    <s v="EMP1301"/>
    <s v="Alice"/>
    <s v="Smith"/>
    <s v="Alice Smith"/>
    <x v="0"/>
    <x v="1"/>
    <x v="1"/>
    <x v="2"/>
    <s v="17/04/2022"/>
    <x v="3"/>
    <x v="3"/>
    <n v="62598.69"/>
    <x v="1"/>
    <s v="Alice.Smith@Example.Com"/>
    <n v="1721314518"/>
    <x v="0"/>
    <x v="0"/>
    <x v="0"/>
  </r>
  <r>
    <s v="EMP1302"/>
    <s v="Grace"/>
    <s v="Williams"/>
    <s v="Grace Williams"/>
    <x v="3"/>
    <x v="1"/>
    <x v="3"/>
    <x v="2"/>
    <s v="02/08/2022"/>
    <x v="3"/>
    <x v="3"/>
    <n v="55617.5"/>
    <x v="0"/>
    <s v="Grace.Williams@Example.Com"/>
    <n v="5151092267"/>
    <x v="1"/>
    <x v="1"/>
    <x v="0"/>
  </r>
  <r>
    <s v="EMP1303"/>
    <s v="Charlie"/>
    <s v="Miller"/>
    <s v="Charlie Miller"/>
    <x v="3"/>
    <x v="3"/>
    <x v="4"/>
    <x v="1"/>
    <s v="15/03/2022"/>
    <x v="3"/>
    <x v="3"/>
    <n v="87018.98"/>
    <x v="2"/>
    <s v="Charlie.Miller@Example.Com"/>
    <n v="5926249450"/>
    <x v="2"/>
    <x v="2"/>
    <x v="0"/>
  </r>
  <r>
    <s v="EMP1304"/>
    <s v="David"/>
    <s v="Johnson"/>
    <s v="David Johnson"/>
    <x v="0"/>
    <x v="3"/>
    <x v="0"/>
    <x v="2"/>
    <s v="10/11/2023"/>
    <x v="2"/>
    <x v="2"/>
    <n v="100336.58"/>
    <x v="2"/>
    <s v="David.Johnson@Example.Com"/>
    <n v="4754102251"/>
    <x v="1"/>
    <x v="1"/>
    <x v="0"/>
  </r>
  <r>
    <s v="EMP1305"/>
    <s v="Grace"/>
    <s v="Jones"/>
    <s v="Grace Jones"/>
    <x v="1"/>
    <x v="2"/>
    <x v="3"/>
    <x v="2"/>
    <s v="13/11/2020"/>
    <x v="1"/>
    <x v="1"/>
    <n v="69295.48"/>
    <x v="1"/>
    <s v="Grace.Jones@Example.Com"/>
    <n v="6771196420"/>
    <x v="1"/>
    <x v="1"/>
    <x v="1"/>
  </r>
  <r>
    <s v="EMP1306"/>
    <s v="Bob"/>
    <s v="Brown"/>
    <s v="Bob Brown"/>
    <x v="0"/>
    <x v="0"/>
    <x v="3"/>
    <x v="1"/>
    <s v="17/04/2024"/>
    <x v="4"/>
    <x v="4"/>
    <n v="115536.66"/>
    <x v="2"/>
    <s v="Bob.Brown@Example.Com"/>
    <n v="5226557675"/>
    <x v="1"/>
    <x v="1"/>
    <x v="0"/>
  </r>
  <r>
    <s v="EMP1307"/>
    <s v="David"/>
    <s v="Johnson"/>
    <s v="David Johnson"/>
    <x v="1"/>
    <x v="3"/>
    <x v="1"/>
    <x v="1"/>
    <s v="03/09/2020"/>
    <x v="1"/>
    <x v="1"/>
    <n v="81250.87"/>
    <x v="1"/>
    <s v="David.Johnson@Example.Com"/>
    <n v="9523668787"/>
    <x v="1"/>
    <x v="1"/>
    <x v="1"/>
  </r>
  <r>
    <s v="EMP1308"/>
    <s v="Alice"/>
    <s v="Garcia"/>
    <s v="Alice Garcia"/>
    <x v="1"/>
    <x v="0"/>
    <x v="1"/>
    <x v="2"/>
    <s v="17/06/2022"/>
    <x v="3"/>
    <x v="3"/>
    <n v="66403.75"/>
    <x v="1"/>
    <s v="Alice.Garcia@Example.Com"/>
    <n v="7883619688"/>
    <x v="2"/>
    <x v="2"/>
    <x v="1"/>
  </r>
  <r>
    <s v="EMP1309"/>
    <s v="Alice"/>
    <s v="Miller"/>
    <s v="Alice Miller"/>
    <x v="1"/>
    <x v="4"/>
    <x v="0"/>
    <x v="0"/>
    <s v="28/07/2024"/>
    <x v="4"/>
    <x v="4"/>
    <n v="114147.79"/>
    <x v="2"/>
    <s v="Alice.Miller@Example.Com"/>
    <n v="3135030586"/>
    <x v="1"/>
    <x v="1"/>
    <x v="1"/>
  </r>
  <r>
    <s v="EMP1310"/>
    <s v="Frank"/>
    <s v="Garcia"/>
    <s v="Frank Garcia"/>
    <x v="1"/>
    <x v="5"/>
    <x v="4"/>
    <x v="1"/>
    <s v="12/03/2022"/>
    <x v="3"/>
    <x v="3"/>
    <n v="65472.99"/>
    <x v="1"/>
    <s v="Frank.Garcia@Example.Com"/>
    <n v="2105524727"/>
    <x v="2"/>
    <x v="2"/>
    <x v="1"/>
  </r>
  <r>
    <s v="EMP1311"/>
    <s v="Alice"/>
    <s v="Davis"/>
    <s v="Alice Davis"/>
    <x v="1"/>
    <x v="4"/>
    <x v="2"/>
    <x v="0"/>
    <s v="07/06/2023"/>
    <x v="2"/>
    <x v="2"/>
    <n v="97512.51"/>
    <x v="2"/>
    <s v="Alice.Davis@Example.Com"/>
    <n v="6333021259"/>
    <x v="2"/>
    <x v="2"/>
    <x v="0"/>
  </r>
  <r>
    <s v="EMP1312"/>
    <s v="Alice"/>
    <s v="Brown"/>
    <s v="Alice Brown"/>
    <x v="3"/>
    <x v="0"/>
    <x v="2"/>
    <x v="2"/>
    <s v="28/05/2024"/>
    <x v="4"/>
    <x v="4"/>
    <n v="86712.41"/>
    <x v="2"/>
    <s v="Alice.Brown@Example.Com"/>
    <n v="6501917919"/>
    <x v="0"/>
    <x v="0"/>
    <x v="0"/>
  </r>
  <r>
    <s v="EMP1313"/>
    <s v="Grace"/>
    <s v="Davis"/>
    <s v="Grace Davis"/>
    <x v="1"/>
    <x v="5"/>
    <x v="3"/>
    <x v="0"/>
    <s v="25/03/2024"/>
    <x v="4"/>
    <x v="4"/>
    <n v="87654.98"/>
    <x v="2"/>
    <s v="Grace.Davis@Example.Com"/>
    <n v="2521310961"/>
    <x v="3"/>
    <x v="3"/>
    <x v="1"/>
  </r>
  <r>
    <s v="EMP1314"/>
    <s v="David"/>
    <s v="Williams"/>
    <s v="David Williams"/>
    <x v="3"/>
    <x v="0"/>
    <x v="4"/>
    <x v="2"/>
    <s v="28/04/2020"/>
    <x v="1"/>
    <x v="1"/>
    <n v="89367.02"/>
    <x v="2"/>
    <s v="David.Williams@Example.Com"/>
    <n v="2728476569"/>
    <x v="3"/>
    <x v="3"/>
    <x v="1"/>
  </r>
  <r>
    <s v="EMP1315"/>
    <s v="Charlie"/>
    <s v="Garcia"/>
    <s v="Charlie Garcia"/>
    <x v="2"/>
    <x v="2"/>
    <x v="0"/>
    <x v="0"/>
    <s v="11/07/2021"/>
    <x v="0"/>
    <x v="0"/>
    <n v="95269.41"/>
    <x v="2"/>
    <s v="Charlie.Garcia@Example.Com"/>
    <n v="4120092819"/>
    <x v="2"/>
    <x v="2"/>
    <x v="0"/>
  </r>
  <r>
    <s v="EMP1316"/>
    <s v="Frank"/>
    <s v="Williams"/>
    <s v="Frank Williams"/>
    <x v="0"/>
    <x v="4"/>
    <x v="2"/>
    <x v="0"/>
    <s v="15/04/2020"/>
    <x v="1"/>
    <x v="1"/>
    <n v="68792.31"/>
    <x v="1"/>
    <s v="Frank.Williams@Example.Com"/>
    <n v="6678498435"/>
    <x v="0"/>
    <x v="0"/>
    <x v="1"/>
  </r>
  <r>
    <s v="EMP1317"/>
    <s v="Alice"/>
    <s v="Smith"/>
    <s v="Alice Smith"/>
    <x v="0"/>
    <x v="2"/>
    <x v="5"/>
    <x v="1"/>
    <s v="10/07/2023"/>
    <x v="2"/>
    <x v="2"/>
    <n v="89119.53"/>
    <x v="2"/>
    <s v="Alice.Smith@Example.Com"/>
    <n v="2418623689"/>
    <x v="2"/>
    <x v="2"/>
    <x v="0"/>
  </r>
  <r>
    <s v="EMP1318"/>
    <s v="Frank"/>
    <s v="Davis"/>
    <s v="Frank Davis"/>
    <x v="3"/>
    <x v="3"/>
    <x v="4"/>
    <x v="0"/>
    <s v="27/02/2024"/>
    <x v="4"/>
    <x v="4"/>
    <n v="58212.13"/>
    <x v="0"/>
    <s v="Frank.Davis@Example.Com"/>
    <n v="3628917755"/>
    <x v="2"/>
    <x v="2"/>
    <x v="1"/>
  </r>
  <r>
    <s v="EMP1319"/>
    <s v="Heidi"/>
    <s v="Miller"/>
    <s v="Heidi Miller"/>
    <x v="1"/>
    <x v="0"/>
    <x v="5"/>
    <x v="1"/>
    <s v="22/02/2021"/>
    <x v="0"/>
    <x v="0"/>
    <n v="77764.240000000005"/>
    <x v="1"/>
    <s v="Heidi.Miller@Example.Com"/>
    <n v="6205634110"/>
    <x v="2"/>
    <x v="2"/>
    <x v="0"/>
  </r>
  <r>
    <s v="EMP1320"/>
    <s v="Frank"/>
    <s v="Garcia"/>
    <s v="Frank Garcia"/>
    <x v="3"/>
    <x v="1"/>
    <x v="3"/>
    <x v="1"/>
    <s v="21/08/2023"/>
    <x v="2"/>
    <x v="2"/>
    <n v="75148.17"/>
    <x v="1"/>
    <s v="Frank.Garcia@Example.Com"/>
    <n v="5950342810"/>
    <x v="0"/>
    <x v="0"/>
    <x v="1"/>
  </r>
  <r>
    <s v="EMP1321"/>
    <s v="Heidi"/>
    <s v="Jones"/>
    <s v="Heidi Jones"/>
    <x v="2"/>
    <x v="3"/>
    <x v="2"/>
    <x v="2"/>
    <s v="04/08/2024"/>
    <x v="4"/>
    <x v="4"/>
    <n v="108781.18"/>
    <x v="2"/>
    <s v="Heidi.Jones@Example.Com"/>
    <n v="3904383033"/>
    <x v="3"/>
    <x v="3"/>
    <x v="1"/>
  </r>
  <r>
    <s v="EMP1322"/>
    <s v="Frank"/>
    <s v="Brown"/>
    <s v="Frank Brown"/>
    <x v="3"/>
    <x v="1"/>
    <x v="1"/>
    <x v="1"/>
    <s v="11/04/2024"/>
    <x v="4"/>
    <x v="4"/>
    <n v="65489.19"/>
    <x v="1"/>
    <s v="Frank.Brown@Example.Com"/>
    <n v="1990970050"/>
    <x v="0"/>
    <x v="0"/>
    <x v="0"/>
  </r>
  <r>
    <s v="EMP1323"/>
    <s v="Eva"/>
    <s v="Johnson"/>
    <s v="Eva Johnson"/>
    <x v="1"/>
    <x v="4"/>
    <x v="5"/>
    <x v="1"/>
    <s v="05/05/2022"/>
    <x v="3"/>
    <x v="3"/>
    <n v="70663.460000000006"/>
    <x v="1"/>
    <s v="Eva.Johnson@Example.Com"/>
    <n v="4054683564"/>
    <x v="1"/>
    <x v="1"/>
    <x v="1"/>
  </r>
  <r>
    <s v="EMP1324"/>
    <s v="David"/>
    <s v="Miller"/>
    <s v="David Miller"/>
    <x v="2"/>
    <x v="4"/>
    <x v="4"/>
    <x v="2"/>
    <s v="02/01/2023"/>
    <x v="2"/>
    <x v="2"/>
    <n v="95822.56"/>
    <x v="2"/>
    <s v="David.Miller@Example.Com"/>
    <n v="2156818208"/>
    <x v="0"/>
    <x v="0"/>
    <x v="1"/>
  </r>
  <r>
    <s v="EMP1325"/>
    <s v="Eva"/>
    <s v="Miller"/>
    <s v="Eva Miller"/>
    <x v="2"/>
    <x v="0"/>
    <x v="2"/>
    <x v="1"/>
    <s v="10/01/2022"/>
    <x v="3"/>
    <x v="3"/>
    <n v="82258.03"/>
    <x v="1"/>
    <s v="Eva.Miller@Example.Com"/>
    <n v="6790422710"/>
    <x v="0"/>
    <x v="0"/>
    <x v="0"/>
  </r>
  <r>
    <s v="EMP1326"/>
    <s v="Frank"/>
    <s v="Williams"/>
    <s v="Frank Williams"/>
    <x v="1"/>
    <x v="2"/>
    <x v="2"/>
    <x v="1"/>
    <s v="27/09/2022"/>
    <x v="3"/>
    <x v="3"/>
    <n v="62883.34"/>
    <x v="1"/>
    <s v="Frank.Williams@Example.Com"/>
    <n v="3322889856"/>
    <x v="0"/>
    <x v="0"/>
    <x v="1"/>
  </r>
  <r>
    <s v="EMP1327"/>
    <s v="Alice"/>
    <s v="Davis"/>
    <s v="Alice Davis"/>
    <x v="1"/>
    <x v="3"/>
    <x v="1"/>
    <x v="1"/>
    <s v="04/09/2020"/>
    <x v="1"/>
    <x v="1"/>
    <n v="103503.72"/>
    <x v="2"/>
    <s v="Alice.Davis@Example.Com"/>
    <n v="2545960632"/>
    <x v="0"/>
    <x v="0"/>
    <x v="0"/>
  </r>
  <r>
    <s v="EMP1328"/>
    <s v="David"/>
    <s v="Garcia"/>
    <s v="David Garcia"/>
    <x v="0"/>
    <x v="0"/>
    <x v="4"/>
    <x v="0"/>
    <s v="23/03/2021"/>
    <x v="0"/>
    <x v="0"/>
    <n v="85401.3"/>
    <x v="2"/>
    <s v="David.Garcia@Example.Com"/>
    <n v="9912971023"/>
    <x v="3"/>
    <x v="3"/>
    <x v="0"/>
  </r>
  <r>
    <s v="EMP1329"/>
    <s v="Heidi"/>
    <s v="Garcia"/>
    <s v="Heidi Garcia"/>
    <x v="2"/>
    <x v="3"/>
    <x v="1"/>
    <x v="1"/>
    <s v="02/03/2023"/>
    <x v="2"/>
    <x v="2"/>
    <n v="0"/>
    <x v="0"/>
    <s v="Heidi.Garcia@Example.Com"/>
    <n v="8171752420"/>
    <x v="1"/>
    <x v="1"/>
    <x v="1"/>
  </r>
  <r>
    <s v="EMP1330"/>
    <s v="Eva"/>
    <s v="Smith"/>
    <s v="Eva Smith"/>
    <x v="1"/>
    <x v="5"/>
    <x v="1"/>
    <x v="1"/>
    <s v="23/07/2024"/>
    <x v="4"/>
    <x v="4"/>
    <n v="98850.14"/>
    <x v="2"/>
    <s v="Eva.Smith@Example.Com"/>
    <n v="4955112746"/>
    <x v="3"/>
    <x v="3"/>
    <x v="1"/>
  </r>
  <r>
    <s v="EMP1331"/>
    <s v="Charlie"/>
    <s v="Smith"/>
    <s v="Charlie Smith"/>
    <x v="0"/>
    <x v="3"/>
    <x v="5"/>
    <x v="0"/>
    <s v="05/08/2021"/>
    <x v="0"/>
    <x v="0"/>
    <n v="63435.24"/>
    <x v="1"/>
    <s v="Charlie.Smith@Example.Com"/>
    <n v="4721970545"/>
    <x v="3"/>
    <x v="3"/>
    <x v="1"/>
  </r>
  <r>
    <s v="EMP1332"/>
    <s v="Frank"/>
    <s v="Brown"/>
    <s v="Frank Brown"/>
    <x v="3"/>
    <x v="1"/>
    <x v="1"/>
    <x v="2"/>
    <s v="04/11/2022"/>
    <x v="3"/>
    <x v="3"/>
    <n v="82129.84"/>
    <x v="1"/>
    <s v="Frank.Brown@Example.Com"/>
    <n v="6927589550"/>
    <x v="0"/>
    <x v="0"/>
    <x v="1"/>
  </r>
  <r>
    <s v="EMP1333"/>
    <s v="David"/>
    <s v="Williams"/>
    <s v="David Williams"/>
    <x v="3"/>
    <x v="0"/>
    <x v="1"/>
    <x v="1"/>
    <s v="23/10/2024"/>
    <x v="4"/>
    <x v="4"/>
    <n v="95492.61"/>
    <x v="2"/>
    <s v="David.Williams@Example.Com"/>
    <n v="6874090379"/>
    <x v="2"/>
    <x v="2"/>
    <x v="1"/>
  </r>
  <r>
    <s v="EMP1334"/>
    <s v="Grace"/>
    <s v="Miller"/>
    <s v="Grace Miller"/>
    <x v="2"/>
    <x v="1"/>
    <x v="5"/>
    <x v="2"/>
    <s v="24/04/2020"/>
    <x v="1"/>
    <x v="1"/>
    <n v="94572.37"/>
    <x v="2"/>
    <s v="Grace.Miller@Example.Com"/>
    <n v="2146296135"/>
    <x v="2"/>
    <x v="2"/>
    <x v="1"/>
  </r>
  <r>
    <s v="EMP1335"/>
    <s v="Bob"/>
    <s v="Garcia"/>
    <s v="Bob Garcia"/>
    <x v="2"/>
    <x v="1"/>
    <x v="2"/>
    <x v="2"/>
    <s v="03/04/2023"/>
    <x v="2"/>
    <x v="2"/>
    <n v="118413.05"/>
    <x v="2"/>
    <s v="Bob.Garcia@Example.Com"/>
    <n v="7157787111"/>
    <x v="3"/>
    <x v="3"/>
    <x v="1"/>
  </r>
  <r>
    <s v="EMP1336"/>
    <s v="Alice"/>
    <s v="Jones"/>
    <s v="Alice Jones"/>
    <x v="1"/>
    <x v="2"/>
    <x v="2"/>
    <x v="1"/>
    <s v="31/08/2022"/>
    <x v="3"/>
    <x v="3"/>
    <n v="68976.649999999994"/>
    <x v="1"/>
    <s v="Alice.Jones@Example.Com"/>
    <n v="1663651558"/>
    <x v="3"/>
    <x v="3"/>
    <x v="0"/>
  </r>
  <r>
    <s v="EMP1337"/>
    <s v="Eva"/>
    <s v="Williams"/>
    <s v="Eva Williams"/>
    <x v="1"/>
    <x v="4"/>
    <x v="2"/>
    <x v="0"/>
    <s v="01/02/2021"/>
    <x v="0"/>
    <x v="0"/>
    <n v="115013.65"/>
    <x v="2"/>
    <s v="Eva.Williams@Example.Com"/>
    <n v="7371470826"/>
    <x v="0"/>
    <x v="0"/>
    <x v="1"/>
  </r>
  <r>
    <s v="EMP1338"/>
    <s v="David"/>
    <s v="Brown"/>
    <s v="David Brown"/>
    <x v="1"/>
    <x v="2"/>
    <x v="2"/>
    <x v="2"/>
    <s v="06/06/2020"/>
    <x v="1"/>
    <x v="1"/>
    <n v="70949.38"/>
    <x v="1"/>
    <s v="David.Brown@Example.Com"/>
    <n v="2359096055"/>
    <x v="3"/>
    <x v="3"/>
    <x v="0"/>
  </r>
  <r>
    <s v="EMP1339"/>
    <s v="Grace"/>
    <s v="Brown"/>
    <s v="Grace Brown"/>
    <x v="1"/>
    <x v="5"/>
    <x v="3"/>
    <x v="1"/>
    <s v="13/10/2020"/>
    <x v="1"/>
    <x v="1"/>
    <n v="105334.87"/>
    <x v="2"/>
    <s v="Grace.Brown@Example.Com"/>
    <n v="7303064420"/>
    <x v="0"/>
    <x v="0"/>
    <x v="1"/>
  </r>
  <r>
    <s v="EMP1340"/>
    <s v="Bob"/>
    <s v="Williams"/>
    <s v="Bob Williams"/>
    <x v="1"/>
    <x v="0"/>
    <x v="0"/>
    <x v="0"/>
    <s v="19/07/2020"/>
    <x v="1"/>
    <x v="1"/>
    <n v="80596.179999999993"/>
    <x v="1"/>
    <s v="Bob.Williams@Example.Com"/>
    <n v="2146147682"/>
    <x v="2"/>
    <x v="2"/>
    <x v="1"/>
  </r>
  <r>
    <s v="EMP1341"/>
    <s v="Frank"/>
    <s v="Brown"/>
    <s v="Frank Brown"/>
    <x v="1"/>
    <x v="4"/>
    <x v="5"/>
    <x v="2"/>
    <s v="05/03/2024"/>
    <x v="4"/>
    <x v="4"/>
    <n v="72846.37"/>
    <x v="1"/>
    <s v="Frank.Brown@Example.Com"/>
    <n v="4201654234"/>
    <x v="2"/>
    <x v="2"/>
    <x v="0"/>
  </r>
  <r>
    <s v="EMP1342"/>
    <s v="Heidi"/>
    <s v="Williams"/>
    <s v="Heidi Williams"/>
    <x v="2"/>
    <x v="2"/>
    <x v="0"/>
    <x v="1"/>
    <s v="02/07/2022"/>
    <x v="3"/>
    <x v="3"/>
    <n v="80229.36"/>
    <x v="1"/>
    <s v="Heidi.Williams@Example.Com"/>
    <n v="6778265959"/>
    <x v="1"/>
    <x v="1"/>
    <x v="1"/>
  </r>
  <r>
    <s v="EMP1343"/>
    <s v="Grace"/>
    <s v="Johnson"/>
    <s v="Grace Johnson"/>
    <x v="0"/>
    <x v="4"/>
    <x v="0"/>
    <x v="0"/>
    <s v="31/12/2023"/>
    <x v="4"/>
    <x v="2"/>
    <n v="55145.47"/>
    <x v="0"/>
    <s v="Grace.Johnson@Example.Com"/>
    <n v="8931992549"/>
    <x v="2"/>
    <x v="2"/>
    <x v="1"/>
  </r>
  <r>
    <s v="EMP1344"/>
    <s v="Grace"/>
    <s v="Williams"/>
    <s v="Grace Williams"/>
    <x v="1"/>
    <x v="0"/>
    <x v="3"/>
    <x v="2"/>
    <s v="01/08/2022"/>
    <x v="3"/>
    <x v="3"/>
    <n v="0"/>
    <x v="0"/>
    <s v="Grace.Williams@Example.Com"/>
    <n v="2727516479"/>
    <x v="3"/>
    <x v="3"/>
    <x v="0"/>
  </r>
  <r>
    <s v="EMP1345"/>
    <s v="Eva"/>
    <s v="Davis"/>
    <s v="Eva Davis"/>
    <x v="2"/>
    <x v="5"/>
    <x v="0"/>
    <x v="0"/>
    <s v="28/09/2020"/>
    <x v="1"/>
    <x v="1"/>
    <n v="56110.81"/>
    <x v="0"/>
    <s v="Eva.Davis@Example.Com"/>
    <n v="7279103367"/>
    <x v="2"/>
    <x v="2"/>
    <x v="1"/>
  </r>
  <r>
    <s v="EMP1346"/>
    <s v="Grace"/>
    <s v="Williams"/>
    <s v="Grace Williams"/>
    <x v="0"/>
    <x v="3"/>
    <x v="1"/>
    <x v="2"/>
    <s v="02/09/2023"/>
    <x v="2"/>
    <x v="2"/>
    <n v="56514.5"/>
    <x v="0"/>
    <s v="Grace.Williams@Example.Com"/>
    <n v="2963533904"/>
    <x v="0"/>
    <x v="0"/>
    <x v="1"/>
  </r>
  <r>
    <s v="EMP1347"/>
    <s v="Frank"/>
    <s v="Brown"/>
    <s v="Frank Brown"/>
    <x v="2"/>
    <x v="3"/>
    <x v="0"/>
    <x v="2"/>
    <s v="03/05/2022"/>
    <x v="3"/>
    <x v="3"/>
    <n v="104541.84"/>
    <x v="2"/>
    <s v="Frank.Brown@Example.Com"/>
    <n v="5044817765"/>
    <x v="2"/>
    <x v="2"/>
    <x v="1"/>
  </r>
  <r>
    <s v="EMP1348"/>
    <s v="David"/>
    <s v="Garcia"/>
    <s v="David Garcia"/>
    <x v="1"/>
    <x v="4"/>
    <x v="4"/>
    <x v="1"/>
    <s v="18/02/2022"/>
    <x v="3"/>
    <x v="3"/>
    <n v="61865.120000000003"/>
    <x v="1"/>
    <s v="David.Garcia@Example.Com"/>
    <n v="5586851275"/>
    <x v="1"/>
    <x v="1"/>
    <x v="0"/>
  </r>
  <r>
    <s v="EMP1349"/>
    <s v="Eva"/>
    <s v="Davis"/>
    <s v="Eva Davis"/>
    <x v="2"/>
    <x v="2"/>
    <x v="1"/>
    <x v="0"/>
    <s v="06/09/2022"/>
    <x v="3"/>
    <x v="3"/>
    <n v="69317.33"/>
    <x v="1"/>
    <s v="Eva.Davis@Example.Com"/>
    <n v="5289286645"/>
    <x v="2"/>
    <x v="2"/>
    <x v="1"/>
  </r>
  <r>
    <s v="EMP1350"/>
    <s v="Bob"/>
    <s v="Brown"/>
    <s v="Bob Brown"/>
    <x v="3"/>
    <x v="5"/>
    <x v="4"/>
    <x v="1"/>
    <s v="07/04/2023"/>
    <x v="2"/>
    <x v="2"/>
    <n v="84706.17"/>
    <x v="1"/>
    <s v="Bob.Brown@Example.Com"/>
    <n v="4911110960"/>
    <x v="0"/>
    <x v="0"/>
    <x v="1"/>
  </r>
  <r>
    <s v="EMP1351"/>
    <s v="Heidi"/>
    <s v="Smith"/>
    <s v="Heidi Smith"/>
    <x v="0"/>
    <x v="2"/>
    <x v="0"/>
    <x v="0"/>
    <s v="21/03/2022"/>
    <x v="3"/>
    <x v="3"/>
    <n v="73255.210000000006"/>
    <x v="1"/>
    <s v="Heidi.Smith@Example.Com"/>
    <n v="7981789045"/>
    <x v="0"/>
    <x v="0"/>
    <x v="1"/>
  </r>
  <r>
    <s v="EMP1352"/>
    <s v="Frank"/>
    <s v="Smith"/>
    <s v="Frank Smith"/>
    <x v="2"/>
    <x v="5"/>
    <x v="3"/>
    <x v="1"/>
    <s v="05/02/2023"/>
    <x v="2"/>
    <x v="2"/>
    <n v="59528.71"/>
    <x v="0"/>
    <s v="Frank.Smith@Example.Com"/>
    <n v="3378613714"/>
    <x v="3"/>
    <x v="3"/>
    <x v="1"/>
  </r>
  <r>
    <s v="EMP1353"/>
    <s v="David"/>
    <s v="Garcia"/>
    <s v="David Garcia"/>
    <x v="2"/>
    <x v="5"/>
    <x v="4"/>
    <x v="2"/>
    <s v="15/10/2021"/>
    <x v="0"/>
    <x v="0"/>
    <n v="70401.37"/>
    <x v="1"/>
    <s v="David.Garcia@Example.Com"/>
    <n v="7660538443"/>
    <x v="2"/>
    <x v="2"/>
    <x v="0"/>
  </r>
  <r>
    <s v="EMP1354"/>
    <s v="Heidi"/>
    <s v="Garcia"/>
    <s v="Heidi Garcia"/>
    <x v="1"/>
    <x v="2"/>
    <x v="0"/>
    <x v="2"/>
    <s v="28/07/2021"/>
    <x v="0"/>
    <x v="0"/>
    <n v="107154.62"/>
    <x v="2"/>
    <s v="Heidi.Garcia@Example.Com"/>
    <n v="4630600024"/>
    <x v="0"/>
    <x v="0"/>
    <x v="0"/>
  </r>
  <r>
    <s v="EMP1355"/>
    <s v="Bob"/>
    <s v="Davis"/>
    <s v="Bob Davis"/>
    <x v="1"/>
    <x v="2"/>
    <x v="5"/>
    <x v="1"/>
    <s v="01/03/2021"/>
    <x v="0"/>
    <x v="0"/>
    <n v="97719.88"/>
    <x v="2"/>
    <s v="Bob.Davis@Example.Com"/>
    <n v="8955296385"/>
    <x v="1"/>
    <x v="1"/>
    <x v="1"/>
  </r>
  <r>
    <s v="EMP1356"/>
    <s v="Heidi"/>
    <s v="Johnson"/>
    <s v="Heidi Johnson"/>
    <x v="1"/>
    <x v="1"/>
    <x v="0"/>
    <x v="1"/>
    <s v="21/05/2020"/>
    <x v="1"/>
    <x v="1"/>
    <n v="107327.59"/>
    <x v="2"/>
    <s v="Heidi.Johnson@Example.Com"/>
    <n v="3960962625"/>
    <x v="3"/>
    <x v="3"/>
    <x v="1"/>
  </r>
  <r>
    <s v="EMP1357"/>
    <s v="Grace"/>
    <s v="Garcia"/>
    <s v="Grace Garcia"/>
    <x v="2"/>
    <x v="2"/>
    <x v="2"/>
    <x v="2"/>
    <s v="05/10/2021"/>
    <x v="0"/>
    <x v="0"/>
    <n v="67687.72"/>
    <x v="1"/>
    <s v="Grace.Garcia@Example.Com"/>
    <n v="5826312818"/>
    <x v="1"/>
    <x v="1"/>
    <x v="0"/>
  </r>
  <r>
    <s v="EMP1358"/>
    <s v="Grace"/>
    <s v="Smith"/>
    <s v="Grace Smith"/>
    <x v="2"/>
    <x v="3"/>
    <x v="3"/>
    <x v="1"/>
    <s v="09/08/2022"/>
    <x v="3"/>
    <x v="3"/>
    <n v="90757.08"/>
    <x v="2"/>
    <s v="Grace.Smith@Example.Com"/>
    <n v="6482531105"/>
    <x v="2"/>
    <x v="2"/>
    <x v="0"/>
  </r>
  <r>
    <s v="EMP1359"/>
    <s v="Grace"/>
    <s v="Williams"/>
    <s v="Grace Williams"/>
    <x v="1"/>
    <x v="3"/>
    <x v="0"/>
    <x v="1"/>
    <s v="21/07/2024"/>
    <x v="4"/>
    <x v="4"/>
    <n v="87583.42"/>
    <x v="2"/>
    <s v="Grace.Williams@Example.Com"/>
    <n v="920981959"/>
    <x v="2"/>
    <x v="2"/>
    <x v="1"/>
  </r>
  <r>
    <s v="EMP1360"/>
    <s v="Bob"/>
    <s v="Brown"/>
    <s v="Bob Brown"/>
    <x v="0"/>
    <x v="2"/>
    <x v="2"/>
    <x v="1"/>
    <s v="28/12/2021"/>
    <x v="3"/>
    <x v="0"/>
    <n v="61643.69"/>
    <x v="1"/>
    <s v="Bob.Brown@Example.Com"/>
    <n v="2752334382"/>
    <x v="2"/>
    <x v="2"/>
    <x v="0"/>
  </r>
  <r>
    <s v="EMP1361"/>
    <s v="Grace"/>
    <s v="Smith"/>
    <s v="Grace Smith"/>
    <x v="3"/>
    <x v="1"/>
    <x v="1"/>
    <x v="0"/>
    <s v="20/07/2020"/>
    <x v="1"/>
    <x v="1"/>
    <n v="68111.69"/>
    <x v="1"/>
    <s v="Grace.Smith@Example.Com"/>
    <n v="6404120910"/>
    <x v="3"/>
    <x v="3"/>
    <x v="1"/>
  </r>
  <r>
    <s v="EMP1362"/>
    <s v="David"/>
    <s v="Smith"/>
    <s v="David Smith"/>
    <x v="2"/>
    <x v="5"/>
    <x v="3"/>
    <x v="2"/>
    <s v="30/04/2024"/>
    <x v="4"/>
    <x v="4"/>
    <n v="97568.88"/>
    <x v="2"/>
    <s v="David.Smith@Example.Com"/>
    <n v="7911244210"/>
    <x v="0"/>
    <x v="0"/>
    <x v="0"/>
  </r>
  <r>
    <s v="EMP1363"/>
    <s v="Charlie"/>
    <s v="Johnson"/>
    <s v="Charlie Johnson"/>
    <x v="3"/>
    <x v="3"/>
    <x v="3"/>
    <x v="0"/>
    <s v="28/08/2021"/>
    <x v="0"/>
    <x v="0"/>
    <n v="79118.28"/>
    <x v="1"/>
    <s v="Charlie.Johnson@Example.Com"/>
    <n v="7536170616"/>
    <x v="3"/>
    <x v="3"/>
    <x v="0"/>
  </r>
  <r>
    <s v="EMP1364"/>
    <s v="Bob"/>
    <s v="Davis"/>
    <s v="Bob Davis"/>
    <x v="1"/>
    <x v="5"/>
    <x v="0"/>
    <x v="2"/>
    <s v="21/07/2022"/>
    <x v="3"/>
    <x v="3"/>
    <n v="104898.9"/>
    <x v="2"/>
    <s v="Bob.Davis@Example.Com"/>
    <n v="1366572239"/>
    <x v="1"/>
    <x v="1"/>
    <x v="0"/>
  </r>
  <r>
    <s v="EMP1365"/>
    <s v="Frank"/>
    <s v="Davis"/>
    <s v="Frank Davis"/>
    <x v="2"/>
    <x v="3"/>
    <x v="3"/>
    <x v="1"/>
    <s v="27/11/2023"/>
    <x v="4"/>
    <x v="2"/>
    <n v="81671.3"/>
    <x v="1"/>
    <s v="Frank.Davis@Example.Com"/>
    <n v="2990155798"/>
    <x v="3"/>
    <x v="3"/>
    <x v="0"/>
  </r>
  <r>
    <s v="EMP1366"/>
    <s v="Alice"/>
    <s v="Miller"/>
    <s v="Alice Miller"/>
    <x v="0"/>
    <x v="3"/>
    <x v="0"/>
    <x v="1"/>
    <s v="08/11/2020"/>
    <x v="1"/>
    <x v="1"/>
    <n v="97399.75"/>
    <x v="2"/>
    <s v="Alice.Miller@Example.Com"/>
    <n v="8028413907"/>
    <x v="1"/>
    <x v="1"/>
    <x v="1"/>
  </r>
  <r>
    <s v="EMP1367"/>
    <s v="David"/>
    <s v="Johnson"/>
    <s v="David Johnson"/>
    <x v="1"/>
    <x v="2"/>
    <x v="5"/>
    <x v="0"/>
    <s v="11/08/2021"/>
    <x v="0"/>
    <x v="0"/>
    <n v="89189.43"/>
    <x v="2"/>
    <s v="David.Johnson@Example.Com"/>
    <n v="882351304"/>
    <x v="3"/>
    <x v="3"/>
    <x v="0"/>
  </r>
  <r>
    <s v="EMP1368"/>
    <s v="David"/>
    <s v="Williams"/>
    <s v="David Williams"/>
    <x v="2"/>
    <x v="0"/>
    <x v="4"/>
    <x v="0"/>
    <s v="08/04/2023"/>
    <x v="2"/>
    <x v="2"/>
    <n v="96011.55"/>
    <x v="2"/>
    <s v="David.Williams@Example.Com"/>
    <n v="2312447314"/>
    <x v="0"/>
    <x v="0"/>
    <x v="0"/>
  </r>
  <r>
    <s v="EMP1369"/>
    <s v="David"/>
    <s v="Davis"/>
    <s v="David Davis"/>
    <x v="2"/>
    <x v="4"/>
    <x v="3"/>
    <x v="2"/>
    <s v="01/10/2020"/>
    <x v="1"/>
    <x v="1"/>
    <n v="99331.49"/>
    <x v="2"/>
    <s v="David.Davis@Example.Com"/>
    <n v="8477686341"/>
    <x v="1"/>
    <x v="1"/>
    <x v="1"/>
  </r>
  <r>
    <s v="EMP1370"/>
    <s v="Bob"/>
    <s v="Brown"/>
    <s v="Bob Brown"/>
    <x v="1"/>
    <x v="3"/>
    <x v="5"/>
    <x v="0"/>
    <s v="19/01/2022"/>
    <x v="3"/>
    <x v="3"/>
    <n v="72818.94"/>
    <x v="1"/>
    <s v="Bob.Brown@Example.Com"/>
    <n v="3461994236"/>
    <x v="2"/>
    <x v="2"/>
    <x v="0"/>
  </r>
  <r>
    <s v="EMP1371"/>
    <s v="Eva"/>
    <s v="Garcia"/>
    <s v="Eva Garcia"/>
    <x v="2"/>
    <x v="4"/>
    <x v="2"/>
    <x v="2"/>
    <s v="05/07/2023"/>
    <x v="2"/>
    <x v="2"/>
    <n v="77204.75"/>
    <x v="1"/>
    <s v="Eva.Garcia@Example.Com"/>
    <n v="6769459195"/>
    <x v="2"/>
    <x v="2"/>
    <x v="0"/>
  </r>
  <r>
    <s v="EMP1372"/>
    <s v="Bob"/>
    <s v="Johnson"/>
    <s v="Bob Johnson"/>
    <x v="3"/>
    <x v="5"/>
    <x v="3"/>
    <x v="1"/>
    <s v="19/12/2020"/>
    <x v="0"/>
    <x v="1"/>
    <n v="106961.68"/>
    <x v="2"/>
    <s v="Bob.Johnson@Example.Com"/>
    <n v="6395517207"/>
    <x v="3"/>
    <x v="3"/>
    <x v="1"/>
  </r>
  <r>
    <s v="EMP1373"/>
    <s v="Eva"/>
    <s v="Garcia"/>
    <s v="Eva Garcia"/>
    <x v="1"/>
    <x v="4"/>
    <x v="1"/>
    <x v="1"/>
    <s v="10/01/2020"/>
    <x v="1"/>
    <x v="1"/>
    <n v="71923"/>
    <x v="1"/>
    <s v="Eva.Garcia@Example.Com"/>
    <n v="4964985600"/>
    <x v="2"/>
    <x v="2"/>
    <x v="0"/>
  </r>
  <r>
    <s v="EMP1374"/>
    <s v="Bob"/>
    <s v="Smith"/>
    <s v="Bob Smith"/>
    <x v="1"/>
    <x v="5"/>
    <x v="2"/>
    <x v="0"/>
    <s v="11/12/2022"/>
    <x v="2"/>
    <x v="3"/>
    <n v="77192.429999999993"/>
    <x v="1"/>
    <s v="Bob.Smith@Example.Com"/>
    <n v="2562531354"/>
    <x v="1"/>
    <x v="1"/>
    <x v="1"/>
  </r>
  <r>
    <s v="EMP1375"/>
    <s v="Grace"/>
    <s v="Brown"/>
    <s v="Grace Brown"/>
    <x v="2"/>
    <x v="2"/>
    <x v="3"/>
    <x v="1"/>
    <s v="01/05/2023"/>
    <x v="2"/>
    <x v="2"/>
    <n v="98540.3"/>
    <x v="2"/>
    <s v="Grace.Brown@Example.Com"/>
    <n v="2510505378"/>
    <x v="2"/>
    <x v="2"/>
    <x v="1"/>
  </r>
  <r>
    <s v="EMP1376"/>
    <s v="Charlie"/>
    <s v="Brown"/>
    <s v="Charlie Brown"/>
    <x v="1"/>
    <x v="2"/>
    <x v="3"/>
    <x v="2"/>
    <s v="14/10/2020"/>
    <x v="1"/>
    <x v="1"/>
    <n v="63096.9"/>
    <x v="1"/>
    <s v="Charlie.Brown@Example.Com"/>
    <n v="5381649382"/>
    <x v="0"/>
    <x v="0"/>
    <x v="1"/>
  </r>
  <r>
    <s v="EMP1377"/>
    <s v="Alice"/>
    <s v="Smith"/>
    <s v="Alice Smith"/>
    <x v="3"/>
    <x v="3"/>
    <x v="3"/>
    <x v="0"/>
    <s v="02/03/2021"/>
    <x v="0"/>
    <x v="0"/>
    <n v="107065.12"/>
    <x v="2"/>
    <s v="Alice.Smith@Example.Com"/>
    <n v="1849196654"/>
    <x v="0"/>
    <x v="0"/>
    <x v="1"/>
  </r>
  <r>
    <s v="EMP1378"/>
    <s v="Heidi"/>
    <s v="Johnson"/>
    <s v="Heidi Johnson"/>
    <x v="2"/>
    <x v="0"/>
    <x v="3"/>
    <x v="2"/>
    <s v="25/12/2023"/>
    <x v="4"/>
    <x v="2"/>
    <n v="108792.43"/>
    <x v="2"/>
    <s v="Heidi.Johnson@Example.Com"/>
    <n v="3307704610"/>
    <x v="3"/>
    <x v="3"/>
    <x v="0"/>
  </r>
  <r>
    <s v="EMP1379"/>
    <s v="Bob"/>
    <s v="Smith"/>
    <s v="Bob Smith"/>
    <x v="1"/>
    <x v="3"/>
    <x v="4"/>
    <x v="2"/>
    <s v="03/07/2020"/>
    <x v="1"/>
    <x v="1"/>
    <n v="69239.7"/>
    <x v="1"/>
    <s v="Bob.Smith@Example.Com"/>
    <n v="7295963903"/>
    <x v="1"/>
    <x v="1"/>
    <x v="1"/>
  </r>
  <r>
    <s v="EMP1380"/>
    <s v="Charlie"/>
    <s v="Garcia"/>
    <s v="Charlie Garcia"/>
    <x v="2"/>
    <x v="4"/>
    <x v="2"/>
    <x v="2"/>
    <s v="30/01/2023"/>
    <x v="2"/>
    <x v="2"/>
    <n v="85756.42"/>
    <x v="2"/>
    <s v="Charlie.Garcia@Example.Com"/>
    <n v="907426087"/>
    <x v="0"/>
    <x v="0"/>
    <x v="0"/>
  </r>
  <r>
    <s v="EMP1381"/>
    <s v="Eva"/>
    <s v="Miller"/>
    <s v="Eva Miller"/>
    <x v="1"/>
    <x v="5"/>
    <x v="5"/>
    <x v="0"/>
    <s v="04/05/2024"/>
    <x v="4"/>
    <x v="4"/>
    <n v="100328.62"/>
    <x v="2"/>
    <s v="Eva.Miller@Example.Com"/>
    <n v="501716444"/>
    <x v="0"/>
    <x v="0"/>
    <x v="0"/>
  </r>
  <r>
    <s v="EMP1382"/>
    <s v="Grace"/>
    <s v="Brown"/>
    <s v="Grace Brown"/>
    <x v="0"/>
    <x v="0"/>
    <x v="2"/>
    <x v="0"/>
    <s v="09/01/2021"/>
    <x v="0"/>
    <x v="0"/>
    <n v="111236.69"/>
    <x v="2"/>
    <s v="Grace.Brown@Example.Com"/>
    <n v="5618579063"/>
    <x v="1"/>
    <x v="1"/>
    <x v="0"/>
  </r>
  <r>
    <s v="EMP1383"/>
    <s v="Eva"/>
    <s v="Jones"/>
    <s v="Eva Jones"/>
    <x v="3"/>
    <x v="3"/>
    <x v="3"/>
    <x v="0"/>
    <s v="05/07/2024"/>
    <x v="4"/>
    <x v="4"/>
    <n v="106832.22"/>
    <x v="2"/>
    <s v="Eva.Jones@Example.Com"/>
    <n v="7715910299"/>
    <x v="2"/>
    <x v="2"/>
    <x v="0"/>
  </r>
  <r>
    <s v="EMP1384"/>
    <s v="Frank"/>
    <s v="Jones"/>
    <s v="Frank Jones"/>
    <x v="1"/>
    <x v="0"/>
    <x v="3"/>
    <x v="0"/>
    <s v="15/06/2023"/>
    <x v="2"/>
    <x v="2"/>
    <n v="59746.45"/>
    <x v="0"/>
    <s v="Frank.Jones@Example.Com"/>
    <n v="2156321357"/>
    <x v="2"/>
    <x v="2"/>
    <x v="0"/>
  </r>
  <r>
    <s v="EMP1385"/>
    <s v="David"/>
    <s v="Garcia"/>
    <s v="David Garcia"/>
    <x v="0"/>
    <x v="4"/>
    <x v="0"/>
    <x v="1"/>
    <s v="29/07/2021"/>
    <x v="0"/>
    <x v="0"/>
    <n v="91780.04"/>
    <x v="2"/>
    <s v="David.Garcia@Example.Com"/>
    <n v="40104144"/>
    <x v="3"/>
    <x v="3"/>
    <x v="0"/>
  </r>
  <r>
    <s v="EMP1386"/>
    <s v="Eva"/>
    <s v="Williams"/>
    <s v="Eva Williams"/>
    <x v="3"/>
    <x v="4"/>
    <x v="0"/>
    <x v="1"/>
    <s v="23/10/2023"/>
    <x v="2"/>
    <x v="2"/>
    <n v="107062.66"/>
    <x v="2"/>
    <s v="Eva.Williams@Example.Com"/>
    <n v="9642297124"/>
    <x v="2"/>
    <x v="2"/>
    <x v="0"/>
  </r>
  <r>
    <s v="EMP1387"/>
    <s v="Grace"/>
    <s v="Davis"/>
    <s v="Grace Davis"/>
    <x v="0"/>
    <x v="5"/>
    <x v="2"/>
    <x v="0"/>
    <s v="12/07/2023"/>
    <x v="2"/>
    <x v="2"/>
    <n v="110625.52"/>
    <x v="2"/>
    <s v="Grace.Davis@Example.Com"/>
    <n v="2967188396"/>
    <x v="1"/>
    <x v="1"/>
    <x v="0"/>
  </r>
  <r>
    <s v="EMP1388"/>
    <s v="Frank"/>
    <s v="Smith"/>
    <s v="Frank Smith"/>
    <x v="1"/>
    <x v="0"/>
    <x v="3"/>
    <x v="2"/>
    <s v="18/10/2020"/>
    <x v="1"/>
    <x v="1"/>
    <n v="90419.79"/>
    <x v="2"/>
    <s v="Frank.Smith@Example.Com"/>
    <n v="7457314414"/>
    <x v="0"/>
    <x v="0"/>
    <x v="0"/>
  </r>
  <r>
    <s v="EMP1389"/>
    <s v="Grace"/>
    <s v="Smith"/>
    <s v="Grace Smith"/>
    <x v="2"/>
    <x v="1"/>
    <x v="1"/>
    <x v="1"/>
    <s v="15/06/2024"/>
    <x v="4"/>
    <x v="4"/>
    <n v="111608.76"/>
    <x v="2"/>
    <s v="Grace.Smith@Example.Com"/>
    <n v="8331170302"/>
    <x v="2"/>
    <x v="2"/>
    <x v="0"/>
  </r>
  <r>
    <s v="EMP1390"/>
    <s v="Eva"/>
    <s v="Williams"/>
    <s v="Eva Williams"/>
    <x v="3"/>
    <x v="1"/>
    <x v="3"/>
    <x v="2"/>
    <s v="04/06/2023"/>
    <x v="2"/>
    <x v="2"/>
    <n v="50173.120000000003"/>
    <x v="0"/>
    <s v="Eva.Williams@Example.Com"/>
    <n v="7637153987"/>
    <x v="3"/>
    <x v="3"/>
    <x v="1"/>
  </r>
  <r>
    <s v="EMP1391"/>
    <s v="Bob"/>
    <s v="Williams"/>
    <s v="Bob Williams"/>
    <x v="2"/>
    <x v="0"/>
    <x v="2"/>
    <x v="1"/>
    <s v="01/03/2022"/>
    <x v="3"/>
    <x v="3"/>
    <n v="109507.44"/>
    <x v="2"/>
    <s v="Bob.Williams@Example.Com"/>
    <n v="5472812355"/>
    <x v="2"/>
    <x v="2"/>
    <x v="1"/>
  </r>
  <r>
    <s v="EMP1392"/>
    <s v="Grace"/>
    <s v="Garcia"/>
    <s v="Grace Garcia"/>
    <x v="1"/>
    <x v="1"/>
    <x v="4"/>
    <x v="2"/>
    <s v="07/03/2021"/>
    <x v="0"/>
    <x v="0"/>
    <n v="72600.56"/>
    <x v="1"/>
    <s v="Grace.Garcia@Example.Com"/>
    <n v="7983631461"/>
    <x v="1"/>
    <x v="1"/>
    <x v="1"/>
  </r>
  <r>
    <s v="EMP1393"/>
    <s v="Charlie"/>
    <s v="Garcia"/>
    <s v="Charlie Garcia"/>
    <x v="1"/>
    <x v="1"/>
    <x v="0"/>
    <x v="1"/>
    <s v="04/10/2024"/>
    <x v="4"/>
    <x v="4"/>
    <n v="53388.65"/>
    <x v="0"/>
    <s v="Charlie.Garcia@Example.Com"/>
    <n v="4912711306"/>
    <x v="3"/>
    <x v="3"/>
    <x v="0"/>
  </r>
  <r>
    <s v="EMP1394"/>
    <s v="Heidi"/>
    <s v="Williams"/>
    <s v="Heidi Williams"/>
    <x v="0"/>
    <x v="3"/>
    <x v="4"/>
    <x v="2"/>
    <s v="23/07/2022"/>
    <x v="3"/>
    <x v="3"/>
    <n v="50047.32"/>
    <x v="0"/>
    <s v="Heidi.Williams@Example.Com"/>
    <n v="2407875417"/>
    <x v="2"/>
    <x v="2"/>
    <x v="1"/>
  </r>
  <r>
    <s v="EMP1395"/>
    <s v="David"/>
    <s v="Brown"/>
    <s v="David Brown"/>
    <x v="1"/>
    <x v="0"/>
    <x v="0"/>
    <x v="0"/>
    <s v="25/11/2024"/>
    <x v="5"/>
    <x v="4"/>
    <n v="115290.79"/>
    <x v="2"/>
    <s v="David.Brown@Example.Com"/>
    <n v="1563268684"/>
    <x v="3"/>
    <x v="3"/>
    <x v="1"/>
  </r>
  <r>
    <s v="EMP1396"/>
    <s v="Frank"/>
    <s v="Garcia"/>
    <s v="Frank Garcia"/>
    <x v="3"/>
    <x v="3"/>
    <x v="0"/>
    <x v="1"/>
    <s v="21/08/2023"/>
    <x v="2"/>
    <x v="2"/>
    <n v="61586.76"/>
    <x v="1"/>
    <s v="Frank.Garcia@Example.Com"/>
    <n v="745106633"/>
    <x v="1"/>
    <x v="1"/>
    <x v="1"/>
  </r>
  <r>
    <s v="EMP1397"/>
    <s v="Eva"/>
    <s v="Miller"/>
    <s v="Eva Miller"/>
    <x v="1"/>
    <x v="1"/>
    <x v="2"/>
    <x v="0"/>
    <s v="12/12/2023"/>
    <x v="4"/>
    <x v="2"/>
    <n v="56662.86"/>
    <x v="0"/>
    <s v="Eva.Miller@Example.Com"/>
    <n v="3629489785"/>
    <x v="0"/>
    <x v="0"/>
    <x v="0"/>
  </r>
  <r>
    <s v="EMP1398"/>
    <s v="Bob"/>
    <s v="Garcia"/>
    <s v="Bob Garcia"/>
    <x v="1"/>
    <x v="4"/>
    <x v="4"/>
    <x v="1"/>
    <s v="24/10/2023"/>
    <x v="2"/>
    <x v="2"/>
    <n v="0"/>
    <x v="0"/>
    <s v="Bob.Garcia@Example.Com"/>
    <n v="1031310093"/>
    <x v="1"/>
    <x v="1"/>
    <x v="0"/>
  </r>
  <r>
    <s v="EMP1399"/>
    <s v="Frank"/>
    <s v="Smith"/>
    <s v="Frank Smith"/>
    <x v="0"/>
    <x v="1"/>
    <x v="2"/>
    <x v="0"/>
    <s v="09/05/2022"/>
    <x v="3"/>
    <x v="3"/>
    <n v="54957.98"/>
    <x v="0"/>
    <s v="Frank.Smith@Example.Com"/>
    <n v="3181439665"/>
    <x v="1"/>
    <x v="1"/>
    <x v="0"/>
  </r>
  <r>
    <s v="EMP1400"/>
    <s v="Bob"/>
    <s v="Garcia"/>
    <s v="Bob Garcia"/>
    <x v="0"/>
    <x v="5"/>
    <x v="0"/>
    <x v="2"/>
    <s v="10/07/2020"/>
    <x v="1"/>
    <x v="1"/>
    <n v="76790.47"/>
    <x v="1"/>
    <s v="Bob.Garcia@Example.Com"/>
    <n v="1347323548"/>
    <x v="1"/>
    <x v="1"/>
    <x v="0"/>
  </r>
  <r>
    <s v="EMP1401"/>
    <s v="Charlie"/>
    <s v="Brown"/>
    <s v="Charlie Brown"/>
    <x v="1"/>
    <x v="3"/>
    <x v="5"/>
    <x v="1"/>
    <s v="18/01/2020"/>
    <x v="1"/>
    <x v="1"/>
    <n v="92722.35"/>
    <x v="2"/>
    <s v="Charlie.Brown@Example.Com"/>
    <n v="4012897431"/>
    <x v="1"/>
    <x v="1"/>
    <x v="1"/>
  </r>
  <r>
    <s v="EMP1402"/>
    <s v="Frank"/>
    <s v="Williams"/>
    <s v="Frank Williams"/>
    <x v="1"/>
    <x v="0"/>
    <x v="2"/>
    <x v="0"/>
    <s v="23/04/2022"/>
    <x v="3"/>
    <x v="3"/>
    <n v="93125.32"/>
    <x v="2"/>
    <s v="Frank.Williams@Example.Com"/>
    <n v="5122572075"/>
    <x v="0"/>
    <x v="0"/>
    <x v="1"/>
  </r>
  <r>
    <s v="EMP1403"/>
    <s v="David"/>
    <s v="Smith"/>
    <s v="David Smith"/>
    <x v="0"/>
    <x v="3"/>
    <x v="4"/>
    <x v="0"/>
    <s v="22/04/2023"/>
    <x v="2"/>
    <x v="2"/>
    <n v="101100.64"/>
    <x v="2"/>
    <s v="David.Smith@Example.Com"/>
    <n v="5024120956"/>
    <x v="0"/>
    <x v="0"/>
    <x v="1"/>
  </r>
  <r>
    <s v="EMP1404"/>
    <s v="Grace"/>
    <s v="Garcia"/>
    <s v="Grace Garcia"/>
    <x v="3"/>
    <x v="2"/>
    <x v="4"/>
    <x v="2"/>
    <s v="13/08/2023"/>
    <x v="2"/>
    <x v="2"/>
    <n v="55897.41"/>
    <x v="0"/>
    <s v="Grace.Garcia@Example.Com"/>
    <n v="9073710093"/>
    <x v="3"/>
    <x v="3"/>
    <x v="1"/>
  </r>
  <r>
    <s v="EMP1405"/>
    <s v="Eva"/>
    <s v="Brown"/>
    <s v="Eva Brown"/>
    <x v="0"/>
    <x v="0"/>
    <x v="0"/>
    <x v="0"/>
    <s v="26/11/2022"/>
    <x v="2"/>
    <x v="3"/>
    <n v="92484.88"/>
    <x v="2"/>
    <s v="Eva.Brown@Example.Com"/>
    <n v="3882211456"/>
    <x v="2"/>
    <x v="2"/>
    <x v="0"/>
  </r>
  <r>
    <s v="EMP1406"/>
    <s v="Grace"/>
    <s v="Miller"/>
    <s v="Grace Miller"/>
    <x v="3"/>
    <x v="0"/>
    <x v="1"/>
    <x v="0"/>
    <s v="10/10/2022"/>
    <x v="3"/>
    <x v="3"/>
    <n v="77011.990000000005"/>
    <x v="1"/>
    <s v="Grace.Miller@Example.Com"/>
    <n v="7584745704"/>
    <x v="0"/>
    <x v="0"/>
    <x v="0"/>
  </r>
  <r>
    <s v="EMP1407"/>
    <s v="Bob"/>
    <s v="Garcia"/>
    <s v="Bob Garcia"/>
    <x v="1"/>
    <x v="3"/>
    <x v="0"/>
    <x v="2"/>
    <s v="27/09/2020"/>
    <x v="1"/>
    <x v="1"/>
    <n v="77078.679999999993"/>
    <x v="1"/>
    <s v="Bob.Garcia@Example.Com"/>
    <n v="4589714801"/>
    <x v="0"/>
    <x v="0"/>
    <x v="0"/>
  </r>
  <r>
    <s v="EMP1408"/>
    <s v="Grace"/>
    <s v="Brown"/>
    <s v="Grace Brown"/>
    <x v="3"/>
    <x v="4"/>
    <x v="2"/>
    <x v="0"/>
    <s v="04/11/2024"/>
    <x v="4"/>
    <x v="4"/>
    <n v="82971.02"/>
    <x v="1"/>
    <s v="Grace.Brown@Example.Com"/>
    <n v="6325703964"/>
    <x v="2"/>
    <x v="2"/>
    <x v="1"/>
  </r>
  <r>
    <s v="EMP1409"/>
    <s v="Bob"/>
    <s v="Miller"/>
    <s v="Bob Miller"/>
    <x v="0"/>
    <x v="4"/>
    <x v="1"/>
    <x v="0"/>
    <s v="20/06/2021"/>
    <x v="0"/>
    <x v="0"/>
    <n v="65102.01"/>
    <x v="1"/>
    <s v="Bob.Miller@Example.Com"/>
    <n v="3136148781"/>
    <x v="0"/>
    <x v="0"/>
    <x v="0"/>
  </r>
  <r>
    <s v="EMP1410"/>
    <s v="Grace"/>
    <s v="Williams"/>
    <s v="Grace Williams"/>
    <x v="1"/>
    <x v="5"/>
    <x v="2"/>
    <x v="1"/>
    <s v="23/10/2022"/>
    <x v="3"/>
    <x v="3"/>
    <n v="103697.7"/>
    <x v="2"/>
    <s v="Grace.Williams@Example.Com"/>
    <n v="4556964429"/>
    <x v="1"/>
    <x v="1"/>
    <x v="0"/>
  </r>
  <r>
    <s v="EMP1411"/>
    <s v="Grace"/>
    <s v="Garcia"/>
    <s v="Grace Garcia"/>
    <x v="0"/>
    <x v="0"/>
    <x v="5"/>
    <x v="1"/>
    <s v="15/06/2023"/>
    <x v="2"/>
    <x v="2"/>
    <n v="60687.63"/>
    <x v="1"/>
    <s v="Grace.Garcia@Example.Com"/>
    <n v="9859167953"/>
    <x v="1"/>
    <x v="1"/>
    <x v="1"/>
  </r>
  <r>
    <s v="EMP1412"/>
    <s v="Bob"/>
    <s v="Miller"/>
    <s v="Bob Miller"/>
    <x v="1"/>
    <x v="2"/>
    <x v="4"/>
    <x v="1"/>
    <s v="31/10/2021"/>
    <x v="0"/>
    <x v="0"/>
    <n v="77351.210000000006"/>
    <x v="1"/>
    <s v="Bob.Miller@Example.Com"/>
    <n v="1072728497"/>
    <x v="2"/>
    <x v="2"/>
    <x v="1"/>
  </r>
  <r>
    <s v="EMP1413"/>
    <s v="Bob"/>
    <s v="Smith"/>
    <s v="Bob Smith"/>
    <x v="3"/>
    <x v="0"/>
    <x v="3"/>
    <x v="1"/>
    <s v="29/09/2024"/>
    <x v="4"/>
    <x v="4"/>
    <n v="66704.62"/>
    <x v="1"/>
    <s v="Bob.Smith@Example.Com"/>
    <n v="2474140702"/>
    <x v="3"/>
    <x v="3"/>
    <x v="0"/>
  </r>
  <r>
    <s v="EMP1414"/>
    <s v="Grace"/>
    <s v="Williams"/>
    <s v="Grace Williams"/>
    <x v="0"/>
    <x v="1"/>
    <x v="5"/>
    <x v="1"/>
    <s v="22/04/2020"/>
    <x v="1"/>
    <x v="1"/>
    <n v="71650.3"/>
    <x v="1"/>
    <s v="Grace.Williams@Example.Com"/>
    <n v="4910740649"/>
    <x v="3"/>
    <x v="3"/>
    <x v="0"/>
  </r>
  <r>
    <s v="EMP1415"/>
    <s v="Charlie"/>
    <s v="Smith"/>
    <s v="Charlie Smith"/>
    <x v="0"/>
    <x v="3"/>
    <x v="2"/>
    <x v="0"/>
    <s v="12/07/2023"/>
    <x v="2"/>
    <x v="2"/>
    <n v="50794.54"/>
    <x v="0"/>
    <s v="Charlie.Smith@Example.Com"/>
    <n v="425488213"/>
    <x v="2"/>
    <x v="2"/>
    <x v="0"/>
  </r>
  <r>
    <s v="EMP1416"/>
    <s v="Frank"/>
    <s v="Jones"/>
    <s v="Frank Jones"/>
    <x v="1"/>
    <x v="4"/>
    <x v="2"/>
    <x v="2"/>
    <s v="12/07/2020"/>
    <x v="1"/>
    <x v="1"/>
    <n v="76030.86"/>
    <x v="1"/>
    <s v="Frank.Jones@Example.Com"/>
    <n v="2369143074"/>
    <x v="2"/>
    <x v="2"/>
    <x v="0"/>
  </r>
  <r>
    <s v="EMP1417"/>
    <s v="Eva"/>
    <s v="Johnson"/>
    <s v="Eva Johnson"/>
    <x v="0"/>
    <x v="3"/>
    <x v="0"/>
    <x v="2"/>
    <s v="07/11/2021"/>
    <x v="0"/>
    <x v="0"/>
    <n v="86669.79"/>
    <x v="2"/>
    <s v="Eva.Johnson@Example.Com"/>
    <n v="3666144941"/>
    <x v="1"/>
    <x v="1"/>
    <x v="0"/>
  </r>
  <r>
    <s v="EMP1418"/>
    <s v="Bob"/>
    <s v="Garcia"/>
    <s v="Bob Garcia"/>
    <x v="2"/>
    <x v="1"/>
    <x v="5"/>
    <x v="2"/>
    <s v="23/04/2020"/>
    <x v="1"/>
    <x v="1"/>
    <n v="84972.7"/>
    <x v="1"/>
    <s v="Bob.Garcia@Example.Com"/>
    <n v="9659234267"/>
    <x v="3"/>
    <x v="3"/>
    <x v="0"/>
  </r>
  <r>
    <s v="EMP1419"/>
    <s v="Frank"/>
    <s v="Miller"/>
    <s v="Frank Miller"/>
    <x v="1"/>
    <x v="5"/>
    <x v="1"/>
    <x v="1"/>
    <s v="10/12/2023"/>
    <x v="4"/>
    <x v="2"/>
    <n v="100594.49"/>
    <x v="2"/>
    <s v="Frank.Miller@Example.Com"/>
    <n v="3441497825"/>
    <x v="0"/>
    <x v="0"/>
    <x v="1"/>
  </r>
  <r>
    <s v="EMP1420"/>
    <s v="Alice"/>
    <s v="Johnson"/>
    <s v="Alice Johnson"/>
    <x v="0"/>
    <x v="3"/>
    <x v="4"/>
    <x v="0"/>
    <s v="24/08/2022"/>
    <x v="3"/>
    <x v="3"/>
    <n v="75478.350000000006"/>
    <x v="1"/>
    <s v="Alice.Johnson@Example.Com"/>
    <n v="6128758574"/>
    <x v="1"/>
    <x v="1"/>
    <x v="1"/>
  </r>
  <r>
    <s v="EMP1421"/>
    <s v="Charlie"/>
    <s v="Johnson"/>
    <s v="Charlie Johnson"/>
    <x v="0"/>
    <x v="4"/>
    <x v="2"/>
    <x v="1"/>
    <s v="09/04/2023"/>
    <x v="2"/>
    <x v="2"/>
    <n v="79355.850000000006"/>
    <x v="1"/>
    <s v="Charlie.Johnson@Example.Com"/>
    <n v="6766708060"/>
    <x v="2"/>
    <x v="2"/>
    <x v="1"/>
  </r>
  <r>
    <s v="EMP1422"/>
    <s v="Grace"/>
    <s v="Miller"/>
    <s v="Grace Miller"/>
    <x v="3"/>
    <x v="5"/>
    <x v="1"/>
    <x v="1"/>
    <s v="02/02/2022"/>
    <x v="3"/>
    <x v="3"/>
    <n v="58358.07"/>
    <x v="0"/>
    <s v="Grace.Miller@Example.Com"/>
    <n v="2943985297"/>
    <x v="3"/>
    <x v="3"/>
    <x v="0"/>
  </r>
  <r>
    <s v="EMP1423"/>
    <s v="Alice"/>
    <s v="Williams"/>
    <s v="Alice Williams"/>
    <x v="1"/>
    <x v="2"/>
    <x v="5"/>
    <x v="0"/>
    <s v="04/01/2022"/>
    <x v="3"/>
    <x v="3"/>
    <n v="54824.85"/>
    <x v="0"/>
    <s v="Alice.Williams@Example.Com"/>
    <n v="9406260786"/>
    <x v="0"/>
    <x v="0"/>
    <x v="1"/>
  </r>
  <r>
    <s v="EMP1424"/>
    <s v="Eva"/>
    <s v="Garcia"/>
    <s v="Eva Garcia"/>
    <x v="3"/>
    <x v="5"/>
    <x v="1"/>
    <x v="1"/>
    <s v="24/07/2022"/>
    <x v="3"/>
    <x v="3"/>
    <n v="50557.84"/>
    <x v="0"/>
    <s v="Eva.Garcia@Example.Com"/>
    <n v="104159148"/>
    <x v="0"/>
    <x v="0"/>
    <x v="0"/>
  </r>
  <r>
    <s v="EMP1425"/>
    <s v="Eva"/>
    <s v="Jones"/>
    <s v="Eva Jones"/>
    <x v="1"/>
    <x v="2"/>
    <x v="3"/>
    <x v="2"/>
    <s v="26/04/2023"/>
    <x v="2"/>
    <x v="2"/>
    <n v="118030.04"/>
    <x v="2"/>
    <s v="Eva.Jones@Example.Com"/>
    <n v="7501980381"/>
    <x v="1"/>
    <x v="1"/>
    <x v="0"/>
  </r>
  <r>
    <s v="EMP1426"/>
    <s v="David"/>
    <s v="Smith"/>
    <s v="David Smith"/>
    <x v="1"/>
    <x v="2"/>
    <x v="4"/>
    <x v="0"/>
    <s v="19/04/2022"/>
    <x v="3"/>
    <x v="3"/>
    <n v="51673.72"/>
    <x v="0"/>
    <s v="David.Smith@Example.Com"/>
    <n v="8723244078"/>
    <x v="3"/>
    <x v="3"/>
    <x v="1"/>
  </r>
  <r>
    <s v="EMP1427"/>
    <s v="Alice"/>
    <s v="Brown"/>
    <s v="Alice Brown"/>
    <x v="3"/>
    <x v="3"/>
    <x v="2"/>
    <x v="2"/>
    <s v="10/04/2024"/>
    <x v="4"/>
    <x v="4"/>
    <n v="101665.79"/>
    <x v="2"/>
    <s v="Alice.Brown@Example.Com"/>
    <n v="3110291812"/>
    <x v="3"/>
    <x v="3"/>
    <x v="0"/>
  </r>
  <r>
    <s v="EMP1428"/>
    <s v="David"/>
    <s v="Smith"/>
    <s v="David Smith"/>
    <x v="1"/>
    <x v="2"/>
    <x v="3"/>
    <x v="2"/>
    <s v="05/02/2020"/>
    <x v="1"/>
    <x v="1"/>
    <n v="118079.15"/>
    <x v="2"/>
    <s v="David.Smith@Example.Com"/>
    <n v="3170876013"/>
    <x v="2"/>
    <x v="2"/>
    <x v="0"/>
  </r>
  <r>
    <s v="EMP1429"/>
    <s v="Eva"/>
    <s v="Brown"/>
    <s v="Eva Brown"/>
    <x v="0"/>
    <x v="3"/>
    <x v="4"/>
    <x v="1"/>
    <s v="25/04/2022"/>
    <x v="3"/>
    <x v="3"/>
    <n v="99059.28"/>
    <x v="2"/>
    <s v="Eva.Brown@Example.Com"/>
    <n v="6723849790"/>
    <x v="3"/>
    <x v="3"/>
    <x v="1"/>
  </r>
  <r>
    <s v="EMP1430"/>
    <s v="Bob"/>
    <s v="Smith"/>
    <s v="Bob Smith"/>
    <x v="1"/>
    <x v="3"/>
    <x v="5"/>
    <x v="0"/>
    <s v="29/07/2023"/>
    <x v="2"/>
    <x v="2"/>
    <n v="107397.4"/>
    <x v="2"/>
    <s v="Bob.Smith@Example.Com"/>
    <n v="6202232882"/>
    <x v="3"/>
    <x v="3"/>
    <x v="1"/>
  </r>
  <r>
    <s v="EMP1431"/>
    <s v="Alice"/>
    <s v="Miller"/>
    <s v="Alice Miller"/>
    <x v="2"/>
    <x v="0"/>
    <x v="4"/>
    <x v="0"/>
    <s v="20/08/2021"/>
    <x v="0"/>
    <x v="0"/>
    <n v="68269.37"/>
    <x v="1"/>
    <s v="Alice.Miller@Example.Com"/>
    <n v="7744197545"/>
    <x v="1"/>
    <x v="1"/>
    <x v="1"/>
  </r>
  <r>
    <s v="EMP1432"/>
    <s v="Grace"/>
    <s v="Jones"/>
    <s v="Grace Jones"/>
    <x v="3"/>
    <x v="5"/>
    <x v="3"/>
    <x v="2"/>
    <s v="23/04/2021"/>
    <x v="0"/>
    <x v="0"/>
    <n v="55228.12"/>
    <x v="0"/>
    <s v="Grace.Jones@Example.Com"/>
    <n v="6176620470"/>
    <x v="3"/>
    <x v="3"/>
    <x v="0"/>
  </r>
  <r>
    <s v="EMP1433"/>
    <s v="Bob"/>
    <s v="Garcia"/>
    <s v="Bob Garcia"/>
    <x v="1"/>
    <x v="3"/>
    <x v="4"/>
    <x v="2"/>
    <s v="08/12/2022"/>
    <x v="2"/>
    <x v="3"/>
    <n v="71982.33"/>
    <x v="1"/>
    <s v="Bob.Garcia@Example.Com"/>
    <n v="9609409704"/>
    <x v="0"/>
    <x v="0"/>
    <x v="1"/>
  </r>
  <r>
    <s v="EMP1434"/>
    <s v="Frank"/>
    <s v="Brown"/>
    <s v="Frank Brown"/>
    <x v="1"/>
    <x v="1"/>
    <x v="0"/>
    <x v="2"/>
    <s v="26/06/2021"/>
    <x v="0"/>
    <x v="0"/>
    <n v="109673.75"/>
    <x v="2"/>
    <s v="Frank.Brown@Example.Com"/>
    <n v="2774025882"/>
    <x v="1"/>
    <x v="1"/>
    <x v="1"/>
  </r>
  <r>
    <s v="EMP1435"/>
    <s v="Eva"/>
    <s v="Garcia"/>
    <s v="Eva Garcia"/>
    <x v="1"/>
    <x v="3"/>
    <x v="4"/>
    <x v="2"/>
    <s v="30/10/2020"/>
    <x v="1"/>
    <x v="1"/>
    <n v="56384.9"/>
    <x v="0"/>
    <s v="Eva.Garcia@Example.Com"/>
    <n v="5868122594"/>
    <x v="1"/>
    <x v="1"/>
    <x v="0"/>
  </r>
  <r>
    <s v="EMP1436"/>
    <s v="Frank"/>
    <s v="Garcia"/>
    <s v="Frank Garcia"/>
    <x v="2"/>
    <x v="4"/>
    <x v="1"/>
    <x v="1"/>
    <s v="09/04/2021"/>
    <x v="0"/>
    <x v="0"/>
    <n v="68211.679999999993"/>
    <x v="1"/>
    <s v="Frank.Garcia@Example.Com"/>
    <n v="7244617678"/>
    <x v="2"/>
    <x v="2"/>
    <x v="1"/>
  </r>
  <r>
    <s v="EMP1437"/>
    <s v="Alice"/>
    <s v="Garcia"/>
    <s v="Alice Garcia"/>
    <x v="2"/>
    <x v="1"/>
    <x v="5"/>
    <x v="1"/>
    <s v="31/01/2023"/>
    <x v="2"/>
    <x v="2"/>
    <n v="67489.679999999993"/>
    <x v="1"/>
    <s v="Alice.Garcia@Example.Com"/>
    <n v="2988425994"/>
    <x v="3"/>
    <x v="3"/>
    <x v="1"/>
  </r>
  <r>
    <s v="EMP1438"/>
    <s v="Charlie"/>
    <s v="Davis"/>
    <s v="Charlie Davis"/>
    <x v="0"/>
    <x v="3"/>
    <x v="1"/>
    <x v="0"/>
    <s v="24/09/2020"/>
    <x v="1"/>
    <x v="1"/>
    <n v="63869.31"/>
    <x v="1"/>
    <s v="Charlie.Davis@Example.Com"/>
    <n v="9961002310"/>
    <x v="2"/>
    <x v="2"/>
    <x v="1"/>
  </r>
  <r>
    <s v="EMP1439"/>
    <s v="Bob"/>
    <s v="Williams"/>
    <s v="Bob Williams"/>
    <x v="1"/>
    <x v="4"/>
    <x v="0"/>
    <x v="0"/>
    <s v="14/02/2020"/>
    <x v="1"/>
    <x v="1"/>
    <n v="119801.3"/>
    <x v="2"/>
    <s v="Bob.Williams@Example.Com"/>
    <n v="7753312660"/>
    <x v="0"/>
    <x v="0"/>
    <x v="0"/>
  </r>
  <r>
    <s v="EMP1440"/>
    <s v="Heidi"/>
    <s v="Smith"/>
    <s v="Heidi Smith"/>
    <x v="1"/>
    <x v="3"/>
    <x v="0"/>
    <x v="0"/>
    <s v="28/03/2020"/>
    <x v="1"/>
    <x v="1"/>
    <n v="115959.65"/>
    <x v="2"/>
    <s v="Heidi.Smith@Example.Com"/>
    <n v="941017589"/>
    <x v="1"/>
    <x v="1"/>
    <x v="0"/>
  </r>
  <r>
    <s v="EMP1441"/>
    <s v="Grace"/>
    <s v="Garcia"/>
    <s v="Grace Garcia"/>
    <x v="2"/>
    <x v="1"/>
    <x v="1"/>
    <x v="2"/>
    <s v="31/10/2023"/>
    <x v="2"/>
    <x v="2"/>
    <n v="79866.48"/>
    <x v="1"/>
    <s v="Grace.Garcia@Example.Com"/>
    <n v="2517629832"/>
    <x v="1"/>
    <x v="1"/>
    <x v="0"/>
  </r>
  <r>
    <s v="EMP1442"/>
    <s v="Charlie"/>
    <s v="Smith"/>
    <s v="Charlie Smith"/>
    <x v="3"/>
    <x v="5"/>
    <x v="3"/>
    <x v="0"/>
    <s v="03/11/2020"/>
    <x v="1"/>
    <x v="1"/>
    <n v="92987.46"/>
    <x v="2"/>
    <s v="Charlie.Smith@Example.Com"/>
    <n v="4774332682"/>
    <x v="1"/>
    <x v="1"/>
    <x v="0"/>
  </r>
  <r>
    <s v="EMP1443"/>
    <s v="Eva"/>
    <s v="Garcia"/>
    <s v="Eva Garcia"/>
    <x v="2"/>
    <x v="1"/>
    <x v="5"/>
    <x v="2"/>
    <s v="05/04/2020"/>
    <x v="1"/>
    <x v="1"/>
    <n v="56140.51"/>
    <x v="0"/>
    <s v="Eva.Garcia@Example.Com"/>
    <n v="1901302055"/>
    <x v="0"/>
    <x v="0"/>
    <x v="1"/>
  </r>
  <r>
    <s v="EMP1444"/>
    <s v="Grace"/>
    <s v="Brown"/>
    <s v="Grace Brown"/>
    <x v="1"/>
    <x v="0"/>
    <x v="5"/>
    <x v="0"/>
    <s v="15/07/2023"/>
    <x v="2"/>
    <x v="2"/>
    <n v="119586.11"/>
    <x v="2"/>
    <s v="Grace.Brown@Example.Com"/>
    <n v="9815287338"/>
    <x v="0"/>
    <x v="0"/>
    <x v="0"/>
  </r>
  <r>
    <s v="EMP1445"/>
    <s v="Alice"/>
    <s v="Williams"/>
    <s v="Alice Williams"/>
    <x v="2"/>
    <x v="0"/>
    <x v="0"/>
    <x v="2"/>
    <s v="20/01/2023"/>
    <x v="2"/>
    <x v="2"/>
    <n v="104700.46"/>
    <x v="2"/>
    <s v="Alice.Williams@Example.Com"/>
    <n v="7855982175"/>
    <x v="2"/>
    <x v="2"/>
    <x v="0"/>
  </r>
  <r>
    <s v="EMP1446"/>
    <s v="Frank"/>
    <s v="Williams"/>
    <s v="Frank Williams"/>
    <x v="2"/>
    <x v="5"/>
    <x v="4"/>
    <x v="0"/>
    <s v="15/10/2021"/>
    <x v="0"/>
    <x v="0"/>
    <n v="91798.14"/>
    <x v="2"/>
    <s v="Frank.Williams@Example.Com"/>
    <n v="6191284116"/>
    <x v="2"/>
    <x v="2"/>
    <x v="1"/>
  </r>
  <r>
    <s v="EMP1447"/>
    <s v="Eva"/>
    <s v="Miller"/>
    <s v="Eva Miller"/>
    <x v="0"/>
    <x v="1"/>
    <x v="5"/>
    <x v="2"/>
    <s v="19/04/2024"/>
    <x v="4"/>
    <x v="4"/>
    <n v="90879.22"/>
    <x v="2"/>
    <s v="Eva.Miller@Example.Com"/>
    <n v="3098503445"/>
    <x v="2"/>
    <x v="2"/>
    <x v="1"/>
  </r>
  <r>
    <s v="EMP1448"/>
    <s v="Charlie"/>
    <s v="Davis"/>
    <s v="Charlie Davis"/>
    <x v="0"/>
    <x v="2"/>
    <x v="2"/>
    <x v="0"/>
    <s v="29/06/2021"/>
    <x v="0"/>
    <x v="0"/>
    <n v="87358.27"/>
    <x v="2"/>
    <s v="Charlie.Davis@Example.Com"/>
    <n v="5124189388"/>
    <x v="3"/>
    <x v="3"/>
    <x v="1"/>
  </r>
  <r>
    <s v="EMP1449"/>
    <s v="Alice"/>
    <s v="Miller"/>
    <s v="Alice Miller"/>
    <x v="1"/>
    <x v="4"/>
    <x v="3"/>
    <x v="2"/>
    <s v="14/09/2024"/>
    <x v="4"/>
    <x v="4"/>
    <n v="119407.93"/>
    <x v="2"/>
    <s v="Alice.Miller@Example.Com"/>
    <n v="8469081973"/>
    <x v="1"/>
    <x v="1"/>
    <x v="0"/>
  </r>
  <r>
    <s v="EMP1450"/>
    <s v="David"/>
    <s v="Miller"/>
    <s v="David Miller"/>
    <x v="1"/>
    <x v="5"/>
    <x v="2"/>
    <x v="1"/>
    <s v="01/04/2022"/>
    <x v="3"/>
    <x v="3"/>
    <n v="113978.6"/>
    <x v="2"/>
    <s v="David.Miller@Example.Com"/>
    <n v="56435022"/>
    <x v="1"/>
    <x v="1"/>
    <x v="0"/>
  </r>
  <r>
    <s v="EMP1451"/>
    <s v="Frank"/>
    <s v="Miller"/>
    <s v="Frank Miller"/>
    <x v="1"/>
    <x v="4"/>
    <x v="4"/>
    <x v="1"/>
    <s v="20/01/2021"/>
    <x v="0"/>
    <x v="0"/>
    <n v="108568.78"/>
    <x v="2"/>
    <s v="Frank.Miller@Example.Com"/>
    <n v="8503719904"/>
    <x v="2"/>
    <x v="2"/>
    <x v="0"/>
  </r>
  <r>
    <s v="EMP1452"/>
    <s v="Heidi"/>
    <s v="Miller"/>
    <s v="Heidi Miller"/>
    <x v="1"/>
    <x v="5"/>
    <x v="4"/>
    <x v="2"/>
    <s v="18/03/2020"/>
    <x v="1"/>
    <x v="1"/>
    <n v="56318.02"/>
    <x v="0"/>
    <s v="Heidi.Miller@Example.Com"/>
    <n v="1699187239"/>
    <x v="1"/>
    <x v="1"/>
    <x v="1"/>
  </r>
  <r>
    <s v="EMP1453"/>
    <s v="David"/>
    <s v="Miller"/>
    <s v="David Miller"/>
    <x v="0"/>
    <x v="4"/>
    <x v="3"/>
    <x v="0"/>
    <s v="11/10/2021"/>
    <x v="0"/>
    <x v="0"/>
    <n v="114252.73"/>
    <x v="2"/>
    <s v="David.Miller@Example.Com"/>
    <n v="1078356742"/>
    <x v="2"/>
    <x v="2"/>
    <x v="1"/>
  </r>
  <r>
    <s v="EMP1454"/>
    <s v="Charlie"/>
    <s v="Jones"/>
    <s v="Charlie Jones"/>
    <x v="3"/>
    <x v="0"/>
    <x v="4"/>
    <x v="2"/>
    <s v="05/01/2020"/>
    <x v="1"/>
    <x v="1"/>
    <n v="51533.9"/>
    <x v="0"/>
    <s v="Charlie.Jones@Example.Com"/>
    <n v="3896086"/>
    <x v="3"/>
    <x v="3"/>
    <x v="0"/>
  </r>
  <r>
    <s v="EMP1455"/>
    <s v="Charlie"/>
    <s v="Williams"/>
    <s v="Charlie Williams"/>
    <x v="0"/>
    <x v="4"/>
    <x v="0"/>
    <x v="0"/>
    <s v="02/04/2022"/>
    <x v="3"/>
    <x v="3"/>
    <n v="99317.66"/>
    <x v="2"/>
    <s v="Charlie.Williams@Example.Com"/>
    <n v="662668216"/>
    <x v="3"/>
    <x v="3"/>
    <x v="1"/>
  </r>
  <r>
    <s v="EMP1456"/>
    <s v="Bob"/>
    <s v="Miller"/>
    <s v="Bob Miller"/>
    <x v="3"/>
    <x v="5"/>
    <x v="0"/>
    <x v="0"/>
    <s v="18/11/2020"/>
    <x v="1"/>
    <x v="1"/>
    <n v="101264.64"/>
    <x v="2"/>
    <s v="Bob.Miller@Example.Com"/>
    <n v="1955356032"/>
    <x v="0"/>
    <x v="0"/>
    <x v="1"/>
  </r>
  <r>
    <s v="EMP1457"/>
    <s v="Heidi"/>
    <s v="Garcia"/>
    <s v="Heidi Garcia"/>
    <x v="3"/>
    <x v="2"/>
    <x v="2"/>
    <x v="1"/>
    <s v="21/11/2023"/>
    <x v="2"/>
    <x v="2"/>
    <n v="112272.02"/>
    <x v="2"/>
    <s v="Heidi.Garcia@Example.Com"/>
    <n v="1903689002"/>
    <x v="3"/>
    <x v="3"/>
    <x v="1"/>
  </r>
  <r>
    <s v="EMP1458"/>
    <s v="Frank"/>
    <s v="Williams"/>
    <s v="Frank Williams"/>
    <x v="1"/>
    <x v="0"/>
    <x v="5"/>
    <x v="0"/>
    <s v="13/02/2022"/>
    <x v="3"/>
    <x v="3"/>
    <n v="71477.63"/>
    <x v="1"/>
    <s v="Frank.Williams@Example.Com"/>
    <n v="102724054"/>
    <x v="2"/>
    <x v="2"/>
    <x v="0"/>
  </r>
  <r>
    <s v="EMP1459"/>
    <s v="Charlie"/>
    <s v="Williams"/>
    <s v="Charlie Williams"/>
    <x v="1"/>
    <x v="0"/>
    <x v="1"/>
    <x v="1"/>
    <s v="19/03/2023"/>
    <x v="2"/>
    <x v="2"/>
    <n v="77412.100000000006"/>
    <x v="1"/>
    <s v="Charlie.Williams@Example.Com"/>
    <n v="9342967110"/>
    <x v="3"/>
    <x v="3"/>
    <x v="1"/>
  </r>
  <r>
    <s v="EMP1460"/>
    <s v="Alice"/>
    <s v="Johnson"/>
    <s v="Alice Johnson"/>
    <x v="1"/>
    <x v="4"/>
    <x v="0"/>
    <x v="1"/>
    <s v="28/03/2021"/>
    <x v="0"/>
    <x v="0"/>
    <n v="94775.27"/>
    <x v="2"/>
    <s v="Alice.Johnson@Example.Com"/>
    <n v="4837537457"/>
    <x v="0"/>
    <x v="0"/>
    <x v="1"/>
  </r>
  <r>
    <s v="EMP1461"/>
    <s v="Heidi"/>
    <s v="Jones"/>
    <s v="Heidi Jones"/>
    <x v="1"/>
    <x v="5"/>
    <x v="2"/>
    <x v="0"/>
    <s v="05/02/2021"/>
    <x v="0"/>
    <x v="0"/>
    <n v="74276.710000000006"/>
    <x v="1"/>
    <s v="Heidi.Jones@Example.Com"/>
    <n v="4384588104"/>
    <x v="1"/>
    <x v="1"/>
    <x v="0"/>
  </r>
  <r>
    <s v="EMP1462"/>
    <s v="Bob"/>
    <s v="Miller"/>
    <s v="Bob Miller"/>
    <x v="3"/>
    <x v="1"/>
    <x v="1"/>
    <x v="2"/>
    <s v="03/05/2021"/>
    <x v="0"/>
    <x v="0"/>
    <n v="67467.86"/>
    <x v="1"/>
    <s v="Bob.Miller@Example.Com"/>
    <n v="6974132833"/>
    <x v="2"/>
    <x v="2"/>
    <x v="0"/>
  </r>
  <r>
    <s v="EMP1463"/>
    <s v="Eva"/>
    <s v="Smith"/>
    <s v="Eva Smith"/>
    <x v="0"/>
    <x v="0"/>
    <x v="1"/>
    <x v="0"/>
    <s v="03/01/2022"/>
    <x v="3"/>
    <x v="3"/>
    <n v="80675.41"/>
    <x v="1"/>
    <s v="Eva.Smith@Example.Com"/>
    <n v="8315203770"/>
    <x v="1"/>
    <x v="1"/>
    <x v="1"/>
  </r>
  <r>
    <s v="EMP1464"/>
    <s v="Charlie"/>
    <s v="Brown"/>
    <s v="Charlie Brown"/>
    <x v="2"/>
    <x v="1"/>
    <x v="3"/>
    <x v="2"/>
    <s v="23/01/2023"/>
    <x v="2"/>
    <x v="2"/>
    <n v="76274.33"/>
    <x v="1"/>
    <s v="Charlie.Brown@Example.Com"/>
    <n v="704496409"/>
    <x v="0"/>
    <x v="0"/>
    <x v="1"/>
  </r>
  <r>
    <s v="EMP1465"/>
    <s v="David"/>
    <s v="Davis"/>
    <s v="David Davis"/>
    <x v="1"/>
    <x v="1"/>
    <x v="1"/>
    <x v="0"/>
    <s v="26/08/2021"/>
    <x v="0"/>
    <x v="0"/>
    <n v="51405.46"/>
    <x v="0"/>
    <s v="David.Davis@Example.Com"/>
    <n v="4967066702"/>
    <x v="0"/>
    <x v="0"/>
    <x v="0"/>
  </r>
  <r>
    <s v="EMP1466"/>
    <s v="Bob"/>
    <s v="Garcia"/>
    <s v="Bob Garcia"/>
    <x v="0"/>
    <x v="5"/>
    <x v="4"/>
    <x v="2"/>
    <s v="25/11/2020"/>
    <x v="0"/>
    <x v="1"/>
    <n v="101238.96"/>
    <x v="2"/>
    <s v="Bob.Garcia@Example.Com"/>
    <n v="3626804084"/>
    <x v="0"/>
    <x v="0"/>
    <x v="0"/>
  </r>
  <r>
    <s v="EMP1467"/>
    <s v="Bob"/>
    <s v="Smith"/>
    <s v="Bob Smith"/>
    <x v="3"/>
    <x v="4"/>
    <x v="5"/>
    <x v="2"/>
    <s v="13/12/2023"/>
    <x v="4"/>
    <x v="2"/>
    <n v="52169.52"/>
    <x v="0"/>
    <s v="Bob.Smith@Example.Com"/>
    <n v="954930595"/>
    <x v="1"/>
    <x v="1"/>
    <x v="1"/>
  </r>
  <r>
    <s v="EMP1468"/>
    <s v="Charlie"/>
    <s v="Jones"/>
    <s v="Charlie Jones"/>
    <x v="1"/>
    <x v="1"/>
    <x v="4"/>
    <x v="0"/>
    <s v="26/07/2020"/>
    <x v="1"/>
    <x v="1"/>
    <n v="73176.62"/>
    <x v="1"/>
    <s v="Charlie.Jones@Example.Com"/>
    <n v="6018648768"/>
    <x v="1"/>
    <x v="1"/>
    <x v="1"/>
  </r>
  <r>
    <s v="EMP1469"/>
    <s v="Grace"/>
    <s v="Brown"/>
    <s v="Grace Brown"/>
    <x v="1"/>
    <x v="0"/>
    <x v="2"/>
    <x v="1"/>
    <s v="27/06/2021"/>
    <x v="0"/>
    <x v="0"/>
    <n v="96241.85"/>
    <x v="2"/>
    <s v="Grace.Brown@Example.Com"/>
    <n v="9842673203"/>
    <x v="1"/>
    <x v="1"/>
    <x v="1"/>
  </r>
  <r>
    <s v="EMP1470"/>
    <s v="Bob"/>
    <s v="Jones"/>
    <s v="Bob Jones"/>
    <x v="0"/>
    <x v="1"/>
    <x v="5"/>
    <x v="1"/>
    <s v="16/09/2024"/>
    <x v="4"/>
    <x v="4"/>
    <n v="84366.38"/>
    <x v="1"/>
    <s v="Bob.Jones@Example.Com"/>
    <n v="4138459608"/>
    <x v="1"/>
    <x v="1"/>
    <x v="1"/>
  </r>
  <r>
    <s v="EMP1471"/>
    <s v="Alice"/>
    <s v="Garcia"/>
    <s v="Alice Garcia"/>
    <x v="2"/>
    <x v="3"/>
    <x v="0"/>
    <x v="1"/>
    <s v="07/04/2023"/>
    <x v="2"/>
    <x v="2"/>
    <n v="92015.09"/>
    <x v="2"/>
    <s v="Alice.Garcia@Example.Com"/>
    <n v="4544901494"/>
    <x v="0"/>
    <x v="0"/>
    <x v="0"/>
  </r>
  <r>
    <s v="EMP1472"/>
    <s v="Alice"/>
    <s v="Williams"/>
    <s v="Alice Williams"/>
    <x v="1"/>
    <x v="2"/>
    <x v="2"/>
    <x v="2"/>
    <s v="16/06/2020"/>
    <x v="1"/>
    <x v="1"/>
    <n v="83149.95"/>
    <x v="1"/>
    <s v="Alice.Williams@Example.Com"/>
    <n v="4277070704"/>
    <x v="0"/>
    <x v="0"/>
    <x v="1"/>
  </r>
  <r>
    <s v="EMP1473"/>
    <s v="Grace"/>
    <s v="Brown"/>
    <s v="Grace Brown"/>
    <x v="2"/>
    <x v="1"/>
    <x v="2"/>
    <x v="2"/>
    <s v="07/05/2020"/>
    <x v="1"/>
    <x v="1"/>
    <n v="94930.65"/>
    <x v="2"/>
    <s v="Grace.Brown@Example.Com"/>
    <n v="7836091497"/>
    <x v="2"/>
    <x v="2"/>
    <x v="1"/>
  </r>
  <r>
    <s v="EMP1474"/>
    <s v="Frank"/>
    <s v="Williams"/>
    <s v="Frank Williams"/>
    <x v="2"/>
    <x v="5"/>
    <x v="4"/>
    <x v="2"/>
    <s v="04/01/2020"/>
    <x v="1"/>
    <x v="1"/>
    <n v="68430.720000000001"/>
    <x v="1"/>
    <s v="Frank.Williams@Example.Com"/>
    <n v="5172444722"/>
    <x v="2"/>
    <x v="2"/>
    <x v="0"/>
  </r>
  <r>
    <s v="EMP1475"/>
    <s v="David"/>
    <s v="Garcia"/>
    <s v="David Garcia"/>
    <x v="3"/>
    <x v="4"/>
    <x v="1"/>
    <x v="0"/>
    <s v="20/03/2024"/>
    <x v="4"/>
    <x v="4"/>
    <n v="98752.97"/>
    <x v="2"/>
    <s v="David.Garcia@Example.Com"/>
    <n v="2290310286"/>
    <x v="1"/>
    <x v="1"/>
    <x v="1"/>
  </r>
  <r>
    <s v="EMP1476"/>
    <s v="Frank"/>
    <s v="Smith"/>
    <s v="Frank Smith"/>
    <x v="1"/>
    <x v="1"/>
    <x v="5"/>
    <x v="0"/>
    <s v="02/07/2023"/>
    <x v="2"/>
    <x v="2"/>
    <n v="54268.86"/>
    <x v="0"/>
    <s v="Frank.Smith@Example.Com"/>
    <n v="9508304404"/>
    <x v="3"/>
    <x v="3"/>
    <x v="0"/>
  </r>
  <r>
    <s v="EMP1477"/>
    <s v="Grace"/>
    <s v="Garcia"/>
    <s v="Grace Garcia"/>
    <x v="1"/>
    <x v="0"/>
    <x v="3"/>
    <x v="1"/>
    <s v="12/10/2024"/>
    <x v="4"/>
    <x v="4"/>
    <n v="66494.94"/>
    <x v="1"/>
    <s v="Grace.Garcia@Example.Com"/>
    <n v="8093511870"/>
    <x v="3"/>
    <x v="3"/>
    <x v="1"/>
  </r>
  <r>
    <s v="EMP1478"/>
    <s v="Grace"/>
    <s v="Smith"/>
    <s v="Grace Smith"/>
    <x v="0"/>
    <x v="4"/>
    <x v="5"/>
    <x v="1"/>
    <s v="27/06/2024"/>
    <x v="4"/>
    <x v="4"/>
    <n v="90003.98"/>
    <x v="2"/>
    <s v="Grace.Smith@Example.Com"/>
    <n v="8133595615"/>
    <x v="0"/>
    <x v="0"/>
    <x v="1"/>
  </r>
  <r>
    <s v="EMP1479"/>
    <s v="Charlie"/>
    <s v="Brown"/>
    <s v="Charlie Brown"/>
    <x v="0"/>
    <x v="1"/>
    <x v="4"/>
    <x v="0"/>
    <s v="03/09/2021"/>
    <x v="0"/>
    <x v="0"/>
    <n v="106592.25"/>
    <x v="2"/>
    <s v="Charlie.Brown@Example.Com"/>
    <n v="4205955656"/>
    <x v="0"/>
    <x v="0"/>
    <x v="0"/>
  </r>
  <r>
    <s v="EMP1480"/>
    <s v="Grace"/>
    <s v="Brown"/>
    <s v="Grace Brown"/>
    <x v="0"/>
    <x v="0"/>
    <x v="3"/>
    <x v="0"/>
    <s v="08/11/2024"/>
    <x v="4"/>
    <x v="4"/>
    <n v="93905.83"/>
    <x v="2"/>
    <s v="Grace.Brown@Example.Com"/>
    <n v="4902504289"/>
    <x v="0"/>
    <x v="0"/>
    <x v="0"/>
  </r>
  <r>
    <s v="EMP1481"/>
    <s v="Eva"/>
    <s v="Miller"/>
    <s v="Eva Miller"/>
    <x v="3"/>
    <x v="0"/>
    <x v="1"/>
    <x v="0"/>
    <s v="03/05/2022"/>
    <x v="3"/>
    <x v="3"/>
    <n v="88945.49"/>
    <x v="2"/>
    <s v="Eva.Miller@Example.Com"/>
    <n v="1935889535"/>
    <x v="2"/>
    <x v="2"/>
    <x v="1"/>
  </r>
  <r>
    <s v="EMP1482"/>
    <s v="Eva"/>
    <s v="Jones"/>
    <s v="Eva Jones"/>
    <x v="1"/>
    <x v="1"/>
    <x v="1"/>
    <x v="1"/>
    <s v="30/06/2023"/>
    <x v="2"/>
    <x v="2"/>
    <n v="91130.33"/>
    <x v="2"/>
    <s v="Eva.Jones@Example.Com"/>
    <n v="9026113988"/>
    <x v="2"/>
    <x v="2"/>
    <x v="1"/>
  </r>
  <r>
    <s v="EMP1483"/>
    <s v="Bob"/>
    <s v="Miller"/>
    <s v="Bob Miller"/>
    <x v="2"/>
    <x v="2"/>
    <x v="4"/>
    <x v="1"/>
    <s v="19/04/2023"/>
    <x v="2"/>
    <x v="2"/>
    <n v="90787.4"/>
    <x v="2"/>
    <s v="Bob.Miller@Example.Com"/>
    <n v="8681809787"/>
    <x v="0"/>
    <x v="0"/>
    <x v="1"/>
  </r>
  <r>
    <s v="EMP1484"/>
    <s v="Bob"/>
    <s v="Jones"/>
    <s v="Bob Jones"/>
    <x v="0"/>
    <x v="4"/>
    <x v="1"/>
    <x v="2"/>
    <s v="11/11/2024"/>
    <x v="4"/>
    <x v="4"/>
    <n v="87494.34"/>
    <x v="2"/>
    <s v="Bob.Jones@Example.Com"/>
    <n v="7543943534"/>
    <x v="0"/>
    <x v="0"/>
    <x v="0"/>
  </r>
  <r>
    <s v="EMP1485"/>
    <s v="Grace"/>
    <s v="Miller"/>
    <s v="Grace Miller"/>
    <x v="3"/>
    <x v="1"/>
    <x v="2"/>
    <x v="2"/>
    <s v="17/03/2023"/>
    <x v="2"/>
    <x v="2"/>
    <n v="92627.35"/>
    <x v="2"/>
    <s v="Grace.Miller@Example.Com"/>
    <n v="3751376514"/>
    <x v="0"/>
    <x v="0"/>
    <x v="1"/>
  </r>
  <r>
    <s v="EMP1486"/>
    <s v="Eva"/>
    <s v="Williams"/>
    <s v="Eva Williams"/>
    <x v="2"/>
    <x v="2"/>
    <x v="5"/>
    <x v="1"/>
    <s v="26/10/2023"/>
    <x v="2"/>
    <x v="2"/>
    <n v="98556.29"/>
    <x v="2"/>
    <s v="Eva.Williams@Example.Com"/>
    <n v="8815793762"/>
    <x v="3"/>
    <x v="3"/>
    <x v="0"/>
  </r>
  <r>
    <s v="EMP1487"/>
    <s v="Frank"/>
    <s v="Brown"/>
    <s v="Frank Brown"/>
    <x v="1"/>
    <x v="3"/>
    <x v="2"/>
    <x v="2"/>
    <s v="07/04/2021"/>
    <x v="0"/>
    <x v="0"/>
    <n v="112792.2"/>
    <x v="2"/>
    <s v="Frank.Brown@Example.Com"/>
    <n v="9283692943"/>
    <x v="2"/>
    <x v="2"/>
    <x v="0"/>
  </r>
  <r>
    <s v="EMP1488"/>
    <s v="Eva"/>
    <s v="Smith"/>
    <s v="Eva Smith"/>
    <x v="3"/>
    <x v="5"/>
    <x v="3"/>
    <x v="1"/>
    <s v="11/03/2023"/>
    <x v="2"/>
    <x v="2"/>
    <n v="56875.22"/>
    <x v="0"/>
    <s v="Eva.Smith@Example.Com"/>
    <n v="5511668296"/>
    <x v="3"/>
    <x v="3"/>
    <x v="1"/>
  </r>
  <r>
    <s v="EMP1489"/>
    <s v="Charlie"/>
    <s v="Jones"/>
    <s v="Charlie Jones"/>
    <x v="3"/>
    <x v="0"/>
    <x v="3"/>
    <x v="2"/>
    <s v="07/05/2021"/>
    <x v="0"/>
    <x v="0"/>
    <n v="101015.96"/>
    <x v="2"/>
    <s v="Charlie.Jones@Example.Com"/>
    <n v="3270216486"/>
    <x v="3"/>
    <x v="3"/>
    <x v="0"/>
  </r>
  <r>
    <s v="EMP1490"/>
    <s v="Bob"/>
    <s v="Garcia"/>
    <s v="Bob Garcia"/>
    <x v="1"/>
    <x v="1"/>
    <x v="4"/>
    <x v="2"/>
    <s v="26/02/2024"/>
    <x v="4"/>
    <x v="4"/>
    <n v="83912.22"/>
    <x v="1"/>
    <s v="Bob.Garcia@Example.Com"/>
    <n v="1206021287"/>
    <x v="0"/>
    <x v="0"/>
    <x v="1"/>
  </r>
  <r>
    <s v="EMP1491"/>
    <s v="Frank"/>
    <s v="Jones"/>
    <s v="Frank Jones"/>
    <x v="0"/>
    <x v="4"/>
    <x v="4"/>
    <x v="0"/>
    <s v="29/09/2021"/>
    <x v="0"/>
    <x v="0"/>
    <n v="99669.86"/>
    <x v="2"/>
    <s v="Frank.Jones@Example.Com"/>
    <n v="6652683414"/>
    <x v="0"/>
    <x v="0"/>
    <x v="1"/>
  </r>
  <r>
    <s v="EMP1492"/>
    <s v="Alice"/>
    <s v="Smith"/>
    <s v="Alice Smith"/>
    <x v="1"/>
    <x v="2"/>
    <x v="4"/>
    <x v="0"/>
    <s v="25/05/2021"/>
    <x v="0"/>
    <x v="0"/>
    <n v="52314.97"/>
    <x v="0"/>
    <s v="Alice.Smith@Example.Com"/>
    <n v="5999101575"/>
    <x v="1"/>
    <x v="1"/>
    <x v="1"/>
  </r>
  <r>
    <s v="EMP1493"/>
    <s v="Frank"/>
    <s v="Miller"/>
    <s v="Frank Miller"/>
    <x v="1"/>
    <x v="5"/>
    <x v="0"/>
    <x v="2"/>
    <s v="31/10/2022"/>
    <x v="3"/>
    <x v="3"/>
    <n v="77785.960000000006"/>
    <x v="1"/>
    <s v="Frank.Miller@Example.Com"/>
    <n v="7647229811"/>
    <x v="1"/>
    <x v="1"/>
    <x v="1"/>
  </r>
  <r>
    <s v="EMP1494"/>
    <s v="Alice"/>
    <s v="Jones"/>
    <s v="Alice Jones"/>
    <x v="1"/>
    <x v="5"/>
    <x v="3"/>
    <x v="1"/>
    <s v="07/02/2022"/>
    <x v="3"/>
    <x v="3"/>
    <n v="62430.86"/>
    <x v="1"/>
    <s v="Alice.Jones@Example.Com"/>
    <n v="995765727"/>
    <x v="3"/>
    <x v="3"/>
    <x v="1"/>
  </r>
  <r>
    <s v="EMP1495"/>
    <s v="Frank"/>
    <s v="Davis"/>
    <s v="Frank Davis"/>
    <x v="3"/>
    <x v="2"/>
    <x v="0"/>
    <x v="1"/>
    <s v="28/08/2024"/>
    <x v="4"/>
    <x v="4"/>
    <n v="98219.54"/>
    <x v="2"/>
    <s v="Frank.Davis@Example.Com"/>
    <n v="9413475097"/>
    <x v="2"/>
    <x v="2"/>
    <x v="0"/>
  </r>
  <r>
    <s v="EMP1496"/>
    <s v="Grace"/>
    <s v="Williams"/>
    <s v="Grace Williams"/>
    <x v="0"/>
    <x v="2"/>
    <x v="5"/>
    <x v="0"/>
    <s v="21/10/2024"/>
    <x v="4"/>
    <x v="4"/>
    <n v="65494.58"/>
    <x v="1"/>
    <s v="Grace.Williams@Example.Com"/>
    <n v="8986456521"/>
    <x v="0"/>
    <x v="0"/>
    <x v="0"/>
  </r>
  <r>
    <s v="EMP1497"/>
    <s v="David"/>
    <s v="Brown"/>
    <s v="David Brown"/>
    <x v="3"/>
    <x v="0"/>
    <x v="3"/>
    <x v="1"/>
    <s v="02/11/2020"/>
    <x v="1"/>
    <x v="1"/>
    <n v="110524.1"/>
    <x v="2"/>
    <s v="David.Brown@Example.Com"/>
    <n v="368499514"/>
    <x v="0"/>
    <x v="0"/>
    <x v="1"/>
  </r>
  <r>
    <s v="EMP1498"/>
    <s v="Alice"/>
    <s v="Smith"/>
    <s v="Alice Smith"/>
    <x v="2"/>
    <x v="2"/>
    <x v="2"/>
    <x v="0"/>
    <s v="16/05/2023"/>
    <x v="2"/>
    <x v="2"/>
    <n v="106060.54"/>
    <x v="2"/>
    <s v="Alice.Smith@Example.Com"/>
    <n v="4214477323"/>
    <x v="3"/>
    <x v="3"/>
    <x v="1"/>
  </r>
  <r>
    <s v="EMP1499"/>
    <s v="Eva"/>
    <s v="Brown"/>
    <s v="Eva Brown"/>
    <x v="3"/>
    <x v="1"/>
    <x v="3"/>
    <x v="2"/>
    <s v="29/07/2022"/>
    <x v="3"/>
    <x v="3"/>
    <n v="67639.91"/>
    <x v="1"/>
    <s v="Eva.Brown@Example.Com"/>
    <n v="4913421387"/>
    <x v="1"/>
    <x v="1"/>
    <x v="0"/>
  </r>
  <r>
    <s v="EMP1500"/>
    <s v="Grace"/>
    <s v="Davis"/>
    <s v="Grace Davis"/>
    <x v="1"/>
    <x v="3"/>
    <x v="1"/>
    <x v="1"/>
    <s v="18/09/2023"/>
    <x v="2"/>
    <x v="2"/>
    <n v="117653.98"/>
    <x v="2"/>
    <s v="Grace.Davis@Example.Com"/>
    <n v="2090883069"/>
    <x v="2"/>
    <x v="2"/>
    <x v="0"/>
  </r>
  <r>
    <s v="EMP1501"/>
    <s v="Eva"/>
    <s v="Jones"/>
    <s v="Eva Jones"/>
    <x v="3"/>
    <x v="0"/>
    <x v="1"/>
    <x v="2"/>
    <s v="05/10/2020"/>
    <x v="1"/>
    <x v="1"/>
    <n v="73539.86"/>
    <x v="1"/>
    <s v="Eva.Jones@Example.Com"/>
    <n v="5349678273"/>
    <x v="1"/>
    <x v="1"/>
    <x v="0"/>
  </r>
  <r>
    <s v="EMP1502"/>
    <s v="Frank"/>
    <s v="Jones"/>
    <s v="Frank Jones"/>
    <x v="3"/>
    <x v="5"/>
    <x v="2"/>
    <x v="1"/>
    <s v="27/08/2023"/>
    <x v="2"/>
    <x v="2"/>
    <n v="70915.38"/>
    <x v="1"/>
    <s v="Frank.Jones@Example.Com"/>
    <n v="1176741240"/>
    <x v="1"/>
    <x v="1"/>
    <x v="0"/>
  </r>
  <r>
    <s v="EMP1503"/>
    <s v="David"/>
    <s v="Garcia"/>
    <s v="David Garcia"/>
    <x v="0"/>
    <x v="4"/>
    <x v="3"/>
    <x v="1"/>
    <s v="16/10/2021"/>
    <x v="0"/>
    <x v="0"/>
    <n v="97652.9"/>
    <x v="2"/>
    <s v="David.Garcia@Example.Com"/>
    <n v="5131528546"/>
    <x v="1"/>
    <x v="1"/>
    <x v="1"/>
  </r>
  <r>
    <s v="EMP1504"/>
    <s v="Heidi"/>
    <s v="Davis"/>
    <s v="Heidi Davis"/>
    <x v="3"/>
    <x v="5"/>
    <x v="3"/>
    <x v="2"/>
    <s v="03/06/2022"/>
    <x v="3"/>
    <x v="3"/>
    <n v="101571.25"/>
    <x v="2"/>
    <s v="Heidi.Davis@Example.Com"/>
    <n v="8150618537"/>
    <x v="1"/>
    <x v="1"/>
    <x v="1"/>
  </r>
  <r>
    <s v="EMP1505"/>
    <s v="David"/>
    <s v="Smith"/>
    <s v="David Smith"/>
    <x v="3"/>
    <x v="0"/>
    <x v="2"/>
    <x v="0"/>
    <s v="11/06/2023"/>
    <x v="2"/>
    <x v="2"/>
    <n v="87424.46"/>
    <x v="2"/>
    <s v="David.Smith@Example.Com"/>
    <n v="32963346"/>
    <x v="0"/>
    <x v="0"/>
    <x v="0"/>
  </r>
  <r>
    <s v="EMP1506"/>
    <s v="Frank"/>
    <s v="Garcia"/>
    <s v="Frank Garcia"/>
    <x v="1"/>
    <x v="5"/>
    <x v="4"/>
    <x v="1"/>
    <s v="30/11/2024"/>
    <x v="5"/>
    <x v="4"/>
    <n v="89077.36"/>
    <x v="2"/>
    <s v="Frank.Garcia@Example.Com"/>
    <n v="2727423182"/>
    <x v="0"/>
    <x v="0"/>
    <x v="1"/>
  </r>
  <r>
    <s v="EMP1507"/>
    <s v="Heidi"/>
    <s v="Williams"/>
    <s v="Heidi Williams"/>
    <x v="1"/>
    <x v="0"/>
    <x v="0"/>
    <x v="1"/>
    <s v="13/07/2024"/>
    <x v="4"/>
    <x v="4"/>
    <n v="89132.22"/>
    <x v="2"/>
    <s v="Heidi.Williams@Example.Com"/>
    <n v="617893205"/>
    <x v="1"/>
    <x v="1"/>
    <x v="0"/>
  </r>
  <r>
    <s v="EMP1508"/>
    <s v="Frank"/>
    <s v="Garcia"/>
    <s v="Frank Garcia"/>
    <x v="0"/>
    <x v="2"/>
    <x v="0"/>
    <x v="0"/>
    <s v="03/04/2024"/>
    <x v="4"/>
    <x v="4"/>
    <n v="111000.26"/>
    <x v="2"/>
    <s v="Frank.Garcia@Example.Com"/>
    <n v="4969357823"/>
    <x v="2"/>
    <x v="2"/>
    <x v="1"/>
  </r>
  <r>
    <s v="EMP1509"/>
    <s v="Frank"/>
    <s v="Johnson"/>
    <s v="Frank Johnson"/>
    <x v="3"/>
    <x v="5"/>
    <x v="5"/>
    <x v="2"/>
    <s v="08/07/2022"/>
    <x v="3"/>
    <x v="3"/>
    <n v="109584.97"/>
    <x v="2"/>
    <s v="Frank.Johnson@Example.Com"/>
    <n v="3477695873"/>
    <x v="3"/>
    <x v="3"/>
    <x v="0"/>
  </r>
  <r>
    <s v="EMP1510"/>
    <s v="Bob"/>
    <s v="Smith"/>
    <s v="Bob Smith"/>
    <x v="2"/>
    <x v="2"/>
    <x v="5"/>
    <x v="0"/>
    <s v="11/11/2024"/>
    <x v="4"/>
    <x v="4"/>
    <n v="97648.84"/>
    <x v="2"/>
    <s v="Bob.Smith@Example.Com"/>
    <n v="1314675360"/>
    <x v="2"/>
    <x v="2"/>
    <x v="1"/>
  </r>
  <r>
    <s v="EMP1511"/>
    <s v="Grace"/>
    <s v="Johnson"/>
    <s v="Grace Johnson"/>
    <x v="0"/>
    <x v="2"/>
    <x v="4"/>
    <x v="0"/>
    <s v="12/02/2021"/>
    <x v="0"/>
    <x v="0"/>
    <n v="78643.429999999993"/>
    <x v="1"/>
    <s v="Grace.Johnson@Example.Com"/>
    <n v="2751562778"/>
    <x v="2"/>
    <x v="2"/>
    <x v="0"/>
  </r>
  <r>
    <s v="EMP1512"/>
    <s v="Heidi"/>
    <s v="Davis"/>
    <s v="Heidi Davis"/>
    <x v="1"/>
    <x v="5"/>
    <x v="2"/>
    <x v="0"/>
    <s v="14/05/2024"/>
    <x v="4"/>
    <x v="4"/>
    <n v="55656.800000000003"/>
    <x v="0"/>
    <s v="Heidi.Davis@Example.Com"/>
    <n v="6304483607"/>
    <x v="2"/>
    <x v="2"/>
    <x v="0"/>
  </r>
  <r>
    <s v="EMP1513"/>
    <s v="Charlie"/>
    <s v="Miller"/>
    <s v="Charlie Miller"/>
    <x v="3"/>
    <x v="0"/>
    <x v="1"/>
    <x v="0"/>
    <s v="14/07/2022"/>
    <x v="3"/>
    <x v="3"/>
    <n v="69146.95"/>
    <x v="1"/>
    <s v="Charlie.Miller@Example.Com"/>
    <n v="5456676639"/>
    <x v="1"/>
    <x v="1"/>
    <x v="1"/>
  </r>
  <r>
    <s v="EMP1514"/>
    <s v="Charlie"/>
    <s v="Johnson"/>
    <s v="Charlie Johnson"/>
    <x v="1"/>
    <x v="2"/>
    <x v="3"/>
    <x v="0"/>
    <s v="22/09/2020"/>
    <x v="1"/>
    <x v="1"/>
    <n v="93013.58"/>
    <x v="2"/>
    <s v="Charlie.Johnson@Example.Com"/>
    <n v="4735047638"/>
    <x v="0"/>
    <x v="0"/>
    <x v="0"/>
  </r>
  <r>
    <s v="EMP1515"/>
    <s v="Grace"/>
    <s v="Williams"/>
    <s v="Grace Williams"/>
    <x v="2"/>
    <x v="1"/>
    <x v="3"/>
    <x v="0"/>
    <s v="18/03/2020"/>
    <x v="1"/>
    <x v="1"/>
    <n v="87364.78"/>
    <x v="2"/>
    <s v="Grace.Williams@Example.Com"/>
    <n v="2831995297"/>
    <x v="2"/>
    <x v="2"/>
    <x v="1"/>
  </r>
  <r>
    <s v="EMP1516"/>
    <s v="Alice"/>
    <s v="Garcia"/>
    <s v="Alice Garcia"/>
    <x v="3"/>
    <x v="4"/>
    <x v="4"/>
    <x v="0"/>
    <s v="17/10/2023"/>
    <x v="2"/>
    <x v="2"/>
    <n v="50288.67"/>
    <x v="0"/>
    <s v="Alice.Garcia@Example.Com"/>
    <n v="61558107"/>
    <x v="1"/>
    <x v="1"/>
    <x v="1"/>
  </r>
  <r>
    <s v="EMP1517"/>
    <s v="David"/>
    <s v="Miller"/>
    <s v="David Miller"/>
    <x v="3"/>
    <x v="5"/>
    <x v="4"/>
    <x v="0"/>
    <s v="24/02/2022"/>
    <x v="3"/>
    <x v="3"/>
    <n v="85233.55"/>
    <x v="2"/>
    <s v="David.Miller@Example.Com"/>
    <n v="3583286341"/>
    <x v="2"/>
    <x v="2"/>
    <x v="0"/>
  </r>
  <r>
    <s v="EMP1518"/>
    <s v="Bob"/>
    <s v="Garcia"/>
    <s v="Bob Garcia"/>
    <x v="0"/>
    <x v="5"/>
    <x v="0"/>
    <x v="2"/>
    <s v="30/01/2024"/>
    <x v="4"/>
    <x v="4"/>
    <n v="86420.19"/>
    <x v="2"/>
    <s v="Bob.Garcia@Example.Com"/>
    <n v="5563830007"/>
    <x v="2"/>
    <x v="2"/>
    <x v="1"/>
  </r>
  <r>
    <s v="EMP1519"/>
    <s v="Grace"/>
    <s v="Johnson"/>
    <s v="Grace Johnson"/>
    <x v="1"/>
    <x v="5"/>
    <x v="3"/>
    <x v="2"/>
    <s v="16/03/2024"/>
    <x v="4"/>
    <x v="4"/>
    <n v="63189.82"/>
    <x v="1"/>
    <s v="Grace.Johnson@Example.Com"/>
    <n v="1867024402"/>
    <x v="1"/>
    <x v="1"/>
    <x v="1"/>
  </r>
  <r>
    <s v="EMP1520"/>
    <s v="Grace"/>
    <s v="Garcia"/>
    <s v="Grace Garcia"/>
    <x v="0"/>
    <x v="2"/>
    <x v="4"/>
    <x v="1"/>
    <s v="25/09/2020"/>
    <x v="1"/>
    <x v="1"/>
    <n v="64783.32"/>
    <x v="1"/>
    <s v="Grace.Garcia@Example.Com"/>
    <n v="3041662410"/>
    <x v="0"/>
    <x v="0"/>
    <x v="1"/>
  </r>
  <r>
    <s v="EMP1521"/>
    <s v="Charlie"/>
    <s v="Davis"/>
    <s v="Charlie Davis"/>
    <x v="0"/>
    <x v="5"/>
    <x v="2"/>
    <x v="1"/>
    <s v="06/10/2024"/>
    <x v="4"/>
    <x v="4"/>
    <n v="52615.44"/>
    <x v="0"/>
    <s v="Charlie.Davis@Example.Com"/>
    <n v="1860089218"/>
    <x v="0"/>
    <x v="0"/>
    <x v="1"/>
  </r>
  <r>
    <s v="EMP1522"/>
    <s v="Eva"/>
    <s v="Miller"/>
    <s v="Eva Miller"/>
    <x v="1"/>
    <x v="4"/>
    <x v="1"/>
    <x v="1"/>
    <s v="04/08/2020"/>
    <x v="1"/>
    <x v="1"/>
    <n v="96337.89"/>
    <x v="2"/>
    <s v="Eva.Miller@Example.Com"/>
    <n v="6394568043"/>
    <x v="3"/>
    <x v="3"/>
    <x v="1"/>
  </r>
  <r>
    <s v="EMP1523"/>
    <s v="Alice"/>
    <s v="Davis"/>
    <s v="Alice Davis"/>
    <x v="0"/>
    <x v="0"/>
    <x v="1"/>
    <x v="2"/>
    <s v="28/06/2022"/>
    <x v="3"/>
    <x v="3"/>
    <n v="76617.759999999995"/>
    <x v="1"/>
    <s v="Alice.Davis@Example.Com"/>
    <n v="7314976460"/>
    <x v="1"/>
    <x v="1"/>
    <x v="0"/>
  </r>
  <r>
    <s v="EMP1524"/>
    <s v="Heidi"/>
    <s v="Johnson"/>
    <s v="Heidi Johnson"/>
    <x v="1"/>
    <x v="2"/>
    <x v="2"/>
    <x v="1"/>
    <s v="14/07/2023"/>
    <x v="2"/>
    <x v="2"/>
    <n v="50651.32"/>
    <x v="0"/>
    <s v="Heidi.Johnson@Example.Com"/>
    <n v="3684748835"/>
    <x v="3"/>
    <x v="3"/>
    <x v="1"/>
  </r>
  <r>
    <s v="EMP1525"/>
    <s v="Bob"/>
    <s v="Davis"/>
    <s v="Bob Davis"/>
    <x v="1"/>
    <x v="5"/>
    <x v="5"/>
    <x v="1"/>
    <s v="12/06/2023"/>
    <x v="2"/>
    <x v="2"/>
    <n v="59601.45"/>
    <x v="0"/>
    <s v="Bob.Davis@Example.Com"/>
    <n v="765817389"/>
    <x v="3"/>
    <x v="3"/>
    <x v="1"/>
  </r>
  <r>
    <s v="EMP1526"/>
    <s v="Bob"/>
    <s v="Williams"/>
    <s v="Bob Williams"/>
    <x v="1"/>
    <x v="0"/>
    <x v="5"/>
    <x v="0"/>
    <s v="08/01/2021"/>
    <x v="0"/>
    <x v="0"/>
    <n v="57980.88"/>
    <x v="0"/>
    <s v="Bob.Williams@Example.Com"/>
    <n v="6375791451"/>
    <x v="3"/>
    <x v="3"/>
    <x v="1"/>
  </r>
  <r>
    <s v="EMP1527"/>
    <s v="David"/>
    <s v="Johnson"/>
    <s v="David Johnson"/>
    <x v="1"/>
    <x v="2"/>
    <x v="0"/>
    <x v="1"/>
    <s v="17/02/2021"/>
    <x v="0"/>
    <x v="0"/>
    <n v="75054.53"/>
    <x v="1"/>
    <s v="David.Johnson@Example.Com"/>
    <n v="1182379311"/>
    <x v="0"/>
    <x v="0"/>
    <x v="1"/>
  </r>
  <r>
    <s v="EMP1528"/>
    <s v="Charlie"/>
    <s v="Johnson"/>
    <s v="Charlie Johnson"/>
    <x v="0"/>
    <x v="4"/>
    <x v="3"/>
    <x v="0"/>
    <s v="11/10/2023"/>
    <x v="2"/>
    <x v="2"/>
    <n v="115318.7"/>
    <x v="2"/>
    <s v="Charlie.Johnson@Example.Com"/>
    <n v="6978930745"/>
    <x v="1"/>
    <x v="1"/>
    <x v="1"/>
  </r>
  <r>
    <s v="EMP1529"/>
    <s v="Alice"/>
    <s v="Johnson"/>
    <s v="Alice Johnson"/>
    <x v="0"/>
    <x v="0"/>
    <x v="1"/>
    <x v="0"/>
    <s v="09/06/2024"/>
    <x v="4"/>
    <x v="4"/>
    <n v="90190.69"/>
    <x v="2"/>
    <s v="Alice.Johnson@Example.Com"/>
    <n v="4520599603"/>
    <x v="3"/>
    <x v="3"/>
    <x v="0"/>
  </r>
  <r>
    <s v="EMP1530"/>
    <s v="Bob"/>
    <s v="Smith"/>
    <s v="Bob Smith"/>
    <x v="1"/>
    <x v="3"/>
    <x v="2"/>
    <x v="1"/>
    <s v="26/07/2020"/>
    <x v="1"/>
    <x v="1"/>
    <n v="113334.56"/>
    <x v="2"/>
    <s v="Bob.Smith@Example.Com"/>
    <n v="3878753576"/>
    <x v="1"/>
    <x v="1"/>
    <x v="1"/>
  </r>
  <r>
    <s v="EMP1531"/>
    <s v="Heidi"/>
    <s v="Garcia"/>
    <s v="Heidi Garcia"/>
    <x v="3"/>
    <x v="5"/>
    <x v="3"/>
    <x v="0"/>
    <s v="23/07/2020"/>
    <x v="1"/>
    <x v="1"/>
    <n v="106922.49"/>
    <x v="2"/>
    <s v="Heidi.Garcia@Example.Com"/>
    <n v="8811616201"/>
    <x v="1"/>
    <x v="1"/>
    <x v="0"/>
  </r>
  <r>
    <s v="EMP1532"/>
    <s v="Eva"/>
    <s v="Smith"/>
    <s v="Eva Smith"/>
    <x v="3"/>
    <x v="0"/>
    <x v="0"/>
    <x v="2"/>
    <s v="21/02/2024"/>
    <x v="4"/>
    <x v="4"/>
    <n v="58113.07"/>
    <x v="0"/>
    <s v="Eva.Smith@Example.Com"/>
    <n v="8123710671"/>
    <x v="0"/>
    <x v="0"/>
    <x v="0"/>
  </r>
  <r>
    <s v="EMP1533"/>
    <s v="Alice"/>
    <s v="Smith"/>
    <s v="Alice Smith"/>
    <x v="0"/>
    <x v="2"/>
    <x v="2"/>
    <x v="1"/>
    <s v="15/12/2020"/>
    <x v="0"/>
    <x v="1"/>
    <n v="73006.259999999995"/>
    <x v="1"/>
    <s v="Alice.Smith@Example.Com"/>
    <n v="8728660415"/>
    <x v="3"/>
    <x v="3"/>
    <x v="0"/>
  </r>
  <r>
    <s v="EMP1534"/>
    <s v="Eva"/>
    <s v="Williams"/>
    <s v="Eva Williams"/>
    <x v="0"/>
    <x v="5"/>
    <x v="0"/>
    <x v="0"/>
    <s v="21/08/2020"/>
    <x v="1"/>
    <x v="1"/>
    <n v="78054.429999999993"/>
    <x v="1"/>
    <s v="Eva.Williams@Example.Com"/>
    <n v="4485959223"/>
    <x v="3"/>
    <x v="3"/>
    <x v="0"/>
  </r>
  <r>
    <s v="EMP1535"/>
    <s v="Eva"/>
    <s v="Miller"/>
    <s v="Eva Miller"/>
    <x v="2"/>
    <x v="0"/>
    <x v="3"/>
    <x v="2"/>
    <s v="21/08/2023"/>
    <x v="2"/>
    <x v="2"/>
    <n v="112028.67"/>
    <x v="2"/>
    <s v="Eva.Miller@Example.Com"/>
    <n v="8395894772"/>
    <x v="1"/>
    <x v="1"/>
    <x v="1"/>
  </r>
  <r>
    <s v="EMP1536"/>
    <s v="Charlie"/>
    <s v="Garcia"/>
    <s v="Charlie Garcia"/>
    <x v="0"/>
    <x v="2"/>
    <x v="1"/>
    <x v="2"/>
    <s v="24/04/2023"/>
    <x v="2"/>
    <x v="2"/>
    <n v="83787.240000000005"/>
    <x v="1"/>
    <s v="Charlie.Garcia@Example.Com"/>
    <n v="5228705621"/>
    <x v="2"/>
    <x v="2"/>
    <x v="0"/>
  </r>
  <r>
    <s v="EMP1537"/>
    <s v="Heidi"/>
    <s v="Davis"/>
    <s v="Heidi Davis"/>
    <x v="1"/>
    <x v="4"/>
    <x v="3"/>
    <x v="2"/>
    <s v="06/06/2023"/>
    <x v="2"/>
    <x v="2"/>
    <n v="52017.14"/>
    <x v="0"/>
    <s v="Heidi.Davis@Example.Com"/>
    <n v="7104331874"/>
    <x v="0"/>
    <x v="0"/>
    <x v="0"/>
  </r>
  <r>
    <s v="EMP1538"/>
    <s v="Charlie"/>
    <s v="Jones"/>
    <s v="Charlie Jones"/>
    <x v="2"/>
    <x v="1"/>
    <x v="1"/>
    <x v="2"/>
    <s v="21/06/2022"/>
    <x v="3"/>
    <x v="3"/>
    <n v="53218.06"/>
    <x v="0"/>
    <s v="Charlie.Jones@Example.Com"/>
    <n v="1097921582"/>
    <x v="0"/>
    <x v="0"/>
    <x v="1"/>
  </r>
  <r>
    <s v="EMP1539"/>
    <s v="Frank"/>
    <s v="Johnson"/>
    <s v="Frank Johnson"/>
    <x v="0"/>
    <x v="0"/>
    <x v="2"/>
    <x v="1"/>
    <s v="20/04/2024"/>
    <x v="4"/>
    <x v="4"/>
    <n v="102053.67"/>
    <x v="2"/>
    <s v="Frank.Johnson@Example.Com"/>
    <n v="5034469458"/>
    <x v="0"/>
    <x v="0"/>
    <x v="1"/>
  </r>
  <r>
    <s v="EMP1540"/>
    <s v="David"/>
    <s v="Davis"/>
    <s v="David Davis"/>
    <x v="3"/>
    <x v="4"/>
    <x v="5"/>
    <x v="1"/>
    <s v="12/05/2023"/>
    <x v="2"/>
    <x v="2"/>
    <n v="93276.73"/>
    <x v="2"/>
    <s v="David.Davis@Example.Com"/>
    <n v="6488319212"/>
    <x v="0"/>
    <x v="0"/>
    <x v="1"/>
  </r>
  <r>
    <s v="EMP1541"/>
    <s v="David"/>
    <s v="Johnson"/>
    <s v="David Johnson"/>
    <x v="2"/>
    <x v="5"/>
    <x v="2"/>
    <x v="1"/>
    <s v="08/06/2023"/>
    <x v="2"/>
    <x v="2"/>
    <n v="76941.36"/>
    <x v="1"/>
    <s v="David.Johnson@Example.Com"/>
    <n v="4249128964"/>
    <x v="3"/>
    <x v="3"/>
    <x v="0"/>
  </r>
  <r>
    <s v="EMP1542"/>
    <s v="Alice"/>
    <s v="Williams"/>
    <s v="Alice Williams"/>
    <x v="0"/>
    <x v="0"/>
    <x v="4"/>
    <x v="1"/>
    <s v="10/04/2024"/>
    <x v="4"/>
    <x v="4"/>
    <n v="82850.23"/>
    <x v="1"/>
    <s v="Alice.Williams@Example.Com"/>
    <n v="9994973202"/>
    <x v="3"/>
    <x v="3"/>
    <x v="1"/>
  </r>
  <r>
    <s v="EMP1543"/>
    <s v="Charlie"/>
    <s v="Johnson"/>
    <s v="Charlie Johnson"/>
    <x v="0"/>
    <x v="1"/>
    <x v="0"/>
    <x v="0"/>
    <s v="11/08/2021"/>
    <x v="0"/>
    <x v="0"/>
    <n v="117910.15"/>
    <x v="2"/>
    <s v="Charlie.Johnson@Example.Com"/>
    <n v="3192227050"/>
    <x v="2"/>
    <x v="2"/>
    <x v="1"/>
  </r>
  <r>
    <s v="EMP1544"/>
    <s v="David"/>
    <s v="Smith"/>
    <s v="David Smith"/>
    <x v="1"/>
    <x v="0"/>
    <x v="3"/>
    <x v="2"/>
    <s v="31/07/2024"/>
    <x v="4"/>
    <x v="4"/>
    <n v="66450"/>
    <x v="1"/>
    <s v="David.Smith@Example.Com"/>
    <n v="287675480"/>
    <x v="0"/>
    <x v="0"/>
    <x v="0"/>
  </r>
  <r>
    <s v="EMP1545"/>
    <s v="Heidi"/>
    <s v="Garcia"/>
    <s v="Heidi Garcia"/>
    <x v="0"/>
    <x v="1"/>
    <x v="3"/>
    <x v="2"/>
    <s v="31/08/2020"/>
    <x v="1"/>
    <x v="1"/>
    <n v="118646.95"/>
    <x v="2"/>
    <s v="Heidi.Garcia@Example.Com"/>
    <n v="3866675484"/>
    <x v="0"/>
    <x v="0"/>
    <x v="1"/>
  </r>
  <r>
    <s v="EMP1546"/>
    <s v="Alice"/>
    <s v="Jones"/>
    <s v="Alice Jones"/>
    <x v="0"/>
    <x v="1"/>
    <x v="3"/>
    <x v="0"/>
    <s v="15/02/2023"/>
    <x v="2"/>
    <x v="2"/>
    <n v="88436.92"/>
    <x v="2"/>
    <s v="Alice.Jones@Example.Com"/>
    <n v="8193242686"/>
    <x v="1"/>
    <x v="1"/>
    <x v="1"/>
  </r>
  <r>
    <s v="EMP1547"/>
    <s v="Eva"/>
    <s v="Brown"/>
    <s v="Eva Brown"/>
    <x v="1"/>
    <x v="4"/>
    <x v="4"/>
    <x v="1"/>
    <s v="10/07/2023"/>
    <x v="2"/>
    <x v="2"/>
    <n v="81934.55"/>
    <x v="1"/>
    <s v="Eva.Brown@Example.Com"/>
    <n v="7418652056"/>
    <x v="3"/>
    <x v="3"/>
    <x v="1"/>
  </r>
  <r>
    <s v="EMP1548"/>
    <s v="Alice"/>
    <s v="Johnson"/>
    <s v="Alice Johnson"/>
    <x v="1"/>
    <x v="1"/>
    <x v="0"/>
    <x v="1"/>
    <s v="20/04/2024"/>
    <x v="4"/>
    <x v="4"/>
    <n v="93383.06"/>
    <x v="2"/>
    <s v="Alice.Johnson@Example.Com"/>
    <n v="5639836519"/>
    <x v="0"/>
    <x v="0"/>
    <x v="1"/>
  </r>
  <r>
    <s v="EMP1549"/>
    <s v="Frank"/>
    <s v="Davis"/>
    <s v="Frank Davis"/>
    <x v="2"/>
    <x v="3"/>
    <x v="1"/>
    <x v="1"/>
    <s v="30/03/2021"/>
    <x v="0"/>
    <x v="0"/>
    <n v="50153.79"/>
    <x v="0"/>
    <s v="Frank.Davis@Example.Com"/>
    <n v="3758309450"/>
    <x v="2"/>
    <x v="2"/>
    <x v="0"/>
  </r>
  <r>
    <s v="EMP1550"/>
    <s v="Eva"/>
    <s v="Smith"/>
    <s v="Eva Smith"/>
    <x v="1"/>
    <x v="4"/>
    <x v="0"/>
    <x v="1"/>
    <s v="08/05/2020"/>
    <x v="1"/>
    <x v="1"/>
    <n v="53204.47"/>
    <x v="0"/>
    <s v="Eva.Smith@Example.Com"/>
    <n v="5480940475"/>
    <x v="2"/>
    <x v="2"/>
    <x v="1"/>
  </r>
  <r>
    <s v="EMP1551"/>
    <s v="Charlie"/>
    <s v="Brown"/>
    <s v="Charlie Brown"/>
    <x v="2"/>
    <x v="3"/>
    <x v="0"/>
    <x v="1"/>
    <s v="02/05/2021"/>
    <x v="0"/>
    <x v="0"/>
    <n v="63128.04"/>
    <x v="1"/>
    <s v="Charlie.Brown@Example.Com"/>
    <n v="440907976"/>
    <x v="3"/>
    <x v="3"/>
    <x v="1"/>
  </r>
  <r>
    <s v="EMP1552"/>
    <s v="Grace"/>
    <s v="Jones"/>
    <s v="Grace Jones"/>
    <x v="1"/>
    <x v="1"/>
    <x v="4"/>
    <x v="1"/>
    <s v="23/11/2021"/>
    <x v="0"/>
    <x v="0"/>
    <n v="57543.6"/>
    <x v="0"/>
    <s v="Grace.Jones@Example.Com"/>
    <n v="2781050921"/>
    <x v="2"/>
    <x v="2"/>
    <x v="0"/>
  </r>
  <r>
    <s v="EMP1553"/>
    <s v="Bob"/>
    <s v="Brown"/>
    <s v="Bob Brown"/>
    <x v="2"/>
    <x v="1"/>
    <x v="2"/>
    <x v="1"/>
    <s v="29/10/2022"/>
    <x v="3"/>
    <x v="3"/>
    <n v="59424.52"/>
    <x v="0"/>
    <s v="Bob.Brown@Example.Com"/>
    <n v="2161070517"/>
    <x v="2"/>
    <x v="2"/>
    <x v="1"/>
  </r>
  <r>
    <s v="EMP1554"/>
    <s v="Alice"/>
    <s v="Smith"/>
    <s v="Alice Smith"/>
    <x v="1"/>
    <x v="1"/>
    <x v="5"/>
    <x v="2"/>
    <s v="11/07/2022"/>
    <x v="3"/>
    <x v="3"/>
    <n v="104675.7"/>
    <x v="2"/>
    <s v="Alice.Smith@Example.Com"/>
    <n v="4390552957"/>
    <x v="3"/>
    <x v="3"/>
    <x v="0"/>
  </r>
  <r>
    <s v="EMP1555"/>
    <s v="Charlie"/>
    <s v="Garcia"/>
    <s v="Charlie Garcia"/>
    <x v="1"/>
    <x v="3"/>
    <x v="3"/>
    <x v="1"/>
    <s v="14/05/2023"/>
    <x v="2"/>
    <x v="2"/>
    <n v="92431.25"/>
    <x v="2"/>
    <s v="Charlie.Garcia@Example.Com"/>
    <n v="660138240"/>
    <x v="0"/>
    <x v="0"/>
    <x v="1"/>
  </r>
  <r>
    <s v="EMP1556"/>
    <s v="Grace"/>
    <s v="Garcia"/>
    <s v="Grace Garcia"/>
    <x v="2"/>
    <x v="4"/>
    <x v="2"/>
    <x v="0"/>
    <s v="14/07/2021"/>
    <x v="0"/>
    <x v="0"/>
    <n v="77850.899999999994"/>
    <x v="1"/>
    <s v="Grace.Garcia@Example.Com"/>
    <n v="2704938619"/>
    <x v="0"/>
    <x v="0"/>
    <x v="0"/>
  </r>
  <r>
    <s v="EMP1557"/>
    <s v="Eva"/>
    <s v="Miller"/>
    <s v="Eva Miller"/>
    <x v="2"/>
    <x v="2"/>
    <x v="4"/>
    <x v="2"/>
    <s v="18/05/2023"/>
    <x v="2"/>
    <x v="2"/>
    <n v="99001"/>
    <x v="2"/>
    <s v="Eva.Miller@Example.Com"/>
    <n v="4485157918"/>
    <x v="2"/>
    <x v="2"/>
    <x v="0"/>
  </r>
  <r>
    <s v="EMP1558"/>
    <s v="Eva"/>
    <s v="Garcia"/>
    <s v="Eva Garcia"/>
    <x v="1"/>
    <x v="5"/>
    <x v="2"/>
    <x v="1"/>
    <s v="02/07/2023"/>
    <x v="2"/>
    <x v="2"/>
    <n v="94280.83"/>
    <x v="2"/>
    <s v="Eva.Garcia@Example.Com"/>
    <n v="7111212589"/>
    <x v="2"/>
    <x v="2"/>
    <x v="0"/>
  </r>
  <r>
    <s v="EMP1559"/>
    <s v="Eva"/>
    <s v="Miller"/>
    <s v="Eva Miller"/>
    <x v="3"/>
    <x v="0"/>
    <x v="4"/>
    <x v="1"/>
    <s v="24/08/2023"/>
    <x v="2"/>
    <x v="2"/>
    <n v="118262.56"/>
    <x v="2"/>
    <s v="Eva.Miller@Example.Com"/>
    <n v="2035713431"/>
    <x v="0"/>
    <x v="0"/>
    <x v="0"/>
  </r>
  <r>
    <s v="EMP1560"/>
    <s v="Frank"/>
    <s v="Brown"/>
    <s v="Frank Brown"/>
    <x v="0"/>
    <x v="5"/>
    <x v="5"/>
    <x v="2"/>
    <s v="04/08/2023"/>
    <x v="2"/>
    <x v="2"/>
    <n v="89944.67"/>
    <x v="2"/>
    <s v="Frank.Brown@Example.Com"/>
    <n v="4064242955"/>
    <x v="3"/>
    <x v="3"/>
    <x v="1"/>
  </r>
  <r>
    <s v="EMP1561"/>
    <s v="Grace"/>
    <s v="Williams"/>
    <s v="Grace Williams"/>
    <x v="1"/>
    <x v="5"/>
    <x v="3"/>
    <x v="0"/>
    <s v="12/06/2022"/>
    <x v="3"/>
    <x v="3"/>
    <n v="57452.93"/>
    <x v="0"/>
    <s v="Grace.Williams@Example.Com"/>
    <n v="3343244740"/>
    <x v="2"/>
    <x v="2"/>
    <x v="0"/>
  </r>
  <r>
    <s v="EMP1562"/>
    <s v="Alice"/>
    <s v="Davis"/>
    <s v="Alice Davis"/>
    <x v="0"/>
    <x v="2"/>
    <x v="0"/>
    <x v="0"/>
    <s v="08/09/2021"/>
    <x v="0"/>
    <x v="0"/>
    <n v="97837.32"/>
    <x v="2"/>
    <s v="Alice.Davis@Example.Com"/>
    <n v="7595587208"/>
    <x v="1"/>
    <x v="1"/>
    <x v="1"/>
  </r>
  <r>
    <s v="EMP1563"/>
    <s v="Alice"/>
    <s v="Davis"/>
    <s v="Alice Davis"/>
    <x v="3"/>
    <x v="2"/>
    <x v="5"/>
    <x v="0"/>
    <s v="01/04/2022"/>
    <x v="3"/>
    <x v="3"/>
    <n v="106981.84"/>
    <x v="2"/>
    <s v="Alice.Davis@Example.Com"/>
    <n v="6289365434"/>
    <x v="3"/>
    <x v="3"/>
    <x v="0"/>
  </r>
  <r>
    <s v="EMP1564"/>
    <s v="David"/>
    <s v="Brown"/>
    <s v="David Brown"/>
    <x v="1"/>
    <x v="1"/>
    <x v="4"/>
    <x v="1"/>
    <s v="25/05/2024"/>
    <x v="4"/>
    <x v="4"/>
    <n v="105778.36"/>
    <x v="2"/>
    <s v="David.Brown@Example.Com"/>
    <n v="8841834373"/>
    <x v="2"/>
    <x v="2"/>
    <x v="0"/>
  </r>
  <r>
    <s v="EMP1565"/>
    <s v="Alice"/>
    <s v="Johnson"/>
    <s v="Alice Johnson"/>
    <x v="2"/>
    <x v="1"/>
    <x v="3"/>
    <x v="1"/>
    <s v="10/02/2021"/>
    <x v="0"/>
    <x v="0"/>
    <n v="117608.32000000001"/>
    <x v="2"/>
    <s v="Alice.Johnson@Example.Com"/>
    <n v="182727954"/>
    <x v="2"/>
    <x v="2"/>
    <x v="0"/>
  </r>
  <r>
    <s v="EMP1566"/>
    <s v="Eva"/>
    <s v="Johnson"/>
    <s v="Eva Johnson"/>
    <x v="1"/>
    <x v="4"/>
    <x v="3"/>
    <x v="0"/>
    <s v="21/07/2023"/>
    <x v="2"/>
    <x v="2"/>
    <n v="99324.03"/>
    <x v="2"/>
    <s v="Eva.Johnson@Example.Com"/>
    <n v="9690515025"/>
    <x v="1"/>
    <x v="1"/>
    <x v="1"/>
  </r>
  <r>
    <s v="EMP1567"/>
    <s v="David"/>
    <s v="Garcia"/>
    <s v="David Garcia"/>
    <x v="1"/>
    <x v="5"/>
    <x v="3"/>
    <x v="0"/>
    <s v="30/10/2023"/>
    <x v="2"/>
    <x v="2"/>
    <n v="55212.83"/>
    <x v="0"/>
    <s v="David.Garcia@Example.Com"/>
    <n v="7551254277"/>
    <x v="1"/>
    <x v="1"/>
    <x v="0"/>
  </r>
  <r>
    <s v="EMP1568"/>
    <s v="Bob"/>
    <s v="Davis"/>
    <s v="Bob Davis"/>
    <x v="2"/>
    <x v="3"/>
    <x v="3"/>
    <x v="2"/>
    <s v="13/02/2023"/>
    <x v="2"/>
    <x v="2"/>
    <n v="68496.77"/>
    <x v="1"/>
    <s v="Bob.Davis@Example.Com"/>
    <n v="2079799666"/>
    <x v="0"/>
    <x v="0"/>
    <x v="1"/>
  </r>
  <r>
    <s v="EMP1569"/>
    <s v="Eva"/>
    <s v="Davis"/>
    <s v="Eva Davis"/>
    <x v="0"/>
    <x v="5"/>
    <x v="3"/>
    <x v="1"/>
    <s v="13/11/2020"/>
    <x v="1"/>
    <x v="1"/>
    <n v="52795.839999999997"/>
    <x v="0"/>
    <s v="Eva.Davis@Example.Com"/>
    <n v="3459576402"/>
    <x v="3"/>
    <x v="3"/>
    <x v="1"/>
  </r>
  <r>
    <s v="EMP1570"/>
    <s v="Alice"/>
    <s v="Miller"/>
    <s v="Alice Miller"/>
    <x v="1"/>
    <x v="0"/>
    <x v="0"/>
    <x v="2"/>
    <s v="06/05/2024"/>
    <x v="4"/>
    <x v="4"/>
    <n v="90087.39"/>
    <x v="2"/>
    <s v="Alice.Miller@Example.Com"/>
    <n v="8166496901"/>
    <x v="3"/>
    <x v="3"/>
    <x v="1"/>
  </r>
  <r>
    <s v="EMP1571"/>
    <s v="Frank"/>
    <s v="Williams"/>
    <s v="Frank Williams"/>
    <x v="1"/>
    <x v="2"/>
    <x v="4"/>
    <x v="1"/>
    <s v="19/05/2020"/>
    <x v="1"/>
    <x v="1"/>
    <n v="105038.08"/>
    <x v="2"/>
    <s v="Frank.Williams@Example.Com"/>
    <n v="8249839224"/>
    <x v="0"/>
    <x v="0"/>
    <x v="1"/>
  </r>
  <r>
    <s v="EMP1572"/>
    <s v="Grace"/>
    <s v="Smith"/>
    <s v="Grace Smith"/>
    <x v="0"/>
    <x v="5"/>
    <x v="4"/>
    <x v="0"/>
    <s v="20/09/2023"/>
    <x v="2"/>
    <x v="2"/>
    <n v="73231.850000000006"/>
    <x v="1"/>
    <s v="Grace.Smith@Example.Com"/>
    <n v="142576269"/>
    <x v="3"/>
    <x v="3"/>
    <x v="1"/>
  </r>
  <r>
    <s v="EMP1573"/>
    <s v="David"/>
    <s v="Johnson"/>
    <s v="David Johnson"/>
    <x v="1"/>
    <x v="4"/>
    <x v="3"/>
    <x v="1"/>
    <s v="13/08/2024"/>
    <x v="4"/>
    <x v="4"/>
    <n v="102649.36"/>
    <x v="2"/>
    <s v="David.Johnson@Example.Com"/>
    <n v="2324412335"/>
    <x v="3"/>
    <x v="3"/>
    <x v="1"/>
  </r>
  <r>
    <s v="EMP1574"/>
    <s v="Bob"/>
    <s v="Davis"/>
    <s v="Bob Davis"/>
    <x v="3"/>
    <x v="1"/>
    <x v="4"/>
    <x v="1"/>
    <s v="06/10/2023"/>
    <x v="2"/>
    <x v="2"/>
    <n v="114302.51"/>
    <x v="2"/>
    <s v="Bob.Davis@Example.Com"/>
    <n v="1328507250"/>
    <x v="3"/>
    <x v="3"/>
    <x v="1"/>
  </r>
  <r>
    <s v="EMP1575"/>
    <s v="Alice"/>
    <s v="Miller"/>
    <s v="Alice Miller"/>
    <x v="3"/>
    <x v="1"/>
    <x v="1"/>
    <x v="2"/>
    <s v="06/09/2021"/>
    <x v="0"/>
    <x v="0"/>
    <n v="87816.61"/>
    <x v="2"/>
    <s v="Alice.Miller@Example.Com"/>
    <n v="7863767315"/>
    <x v="3"/>
    <x v="3"/>
    <x v="1"/>
  </r>
  <r>
    <s v="EMP1576"/>
    <s v="Frank"/>
    <s v="Jones"/>
    <s v="Frank Jones"/>
    <x v="1"/>
    <x v="4"/>
    <x v="3"/>
    <x v="2"/>
    <s v="30/03/2020"/>
    <x v="1"/>
    <x v="1"/>
    <n v="70750.38"/>
    <x v="1"/>
    <s v="Frank.Jones@Example.Com"/>
    <n v="2526546967"/>
    <x v="3"/>
    <x v="3"/>
    <x v="1"/>
  </r>
  <r>
    <s v="EMP1577"/>
    <s v="Frank"/>
    <s v="Miller"/>
    <s v="Frank Miller"/>
    <x v="1"/>
    <x v="3"/>
    <x v="1"/>
    <x v="0"/>
    <s v="05/02/2024"/>
    <x v="4"/>
    <x v="4"/>
    <n v="0"/>
    <x v="0"/>
    <s v="Frank.Miller@Example.Com"/>
    <n v="1579039234"/>
    <x v="1"/>
    <x v="1"/>
    <x v="0"/>
  </r>
  <r>
    <s v="EMP1578"/>
    <s v="Bob"/>
    <s v="Johnson"/>
    <s v="Bob Johnson"/>
    <x v="1"/>
    <x v="0"/>
    <x v="2"/>
    <x v="0"/>
    <s v="11/06/2024"/>
    <x v="4"/>
    <x v="4"/>
    <n v="97978.36"/>
    <x v="2"/>
    <s v="Bob.Johnson@Example.Com"/>
    <n v="5580996131"/>
    <x v="3"/>
    <x v="3"/>
    <x v="0"/>
  </r>
  <r>
    <s v="EMP1579"/>
    <s v="David"/>
    <s v="Johnson"/>
    <s v="David Johnson"/>
    <x v="1"/>
    <x v="0"/>
    <x v="2"/>
    <x v="2"/>
    <s v="17/08/2023"/>
    <x v="2"/>
    <x v="2"/>
    <n v="107172.8"/>
    <x v="2"/>
    <s v="David.Johnson@Example.Com"/>
    <n v="7303461561"/>
    <x v="1"/>
    <x v="1"/>
    <x v="0"/>
  </r>
  <r>
    <s v="EMP1580"/>
    <s v="Charlie"/>
    <s v="Miller"/>
    <s v="Charlie Miller"/>
    <x v="0"/>
    <x v="1"/>
    <x v="2"/>
    <x v="2"/>
    <s v="18/03/2020"/>
    <x v="1"/>
    <x v="1"/>
    <n v="56126.46"/>
    <x v="0"/>
    <s v="Charlie.Miller@Example.Com"/>
    <n v="6244670461"/>
    <x v="3"/>
    <x v="3"/>
    <x v="0"/>
  </r>
  <r>
    <s v="EMP1581"/>
    <s v="Eva"/>
    <s v="Smith"/>
    <s v="Eva Smith"/>
    <x v="1"/>
    <x v="3"/>
    <x v="5"/>
    <x v="0"/>
    <s v="13/06/2021"/>
    <x v="0"/>
    <x v="0"/>
    <n v="78534.289999999994"/>
    <x v="1"/>
    <s v="Eva.Smith@Example.Com"/>
    <n v="2681715159"/>
    <x v="0"/>
    <x v="0"/>
    <x v="0"/>
  </r>
  <r>
    <s v="EMP1582"/>
    <s v="Grace"/>
    <s v="Brown"/>
    <s v="Grace Brown"/>
    <x v="2"/>
    <x v="5"/>
    <x v="1"/>
    <x v="2"/>
    <s v="10/10/2023"/>
    <x v="2"/>
    <x v="2"/>
    <n v="0"/>
    <x v="0"/>
    <s v="Grace.Brown@Example.Com"/>
    <n v="2529867075"/>
    <x v="2"/>
    <x v="2"/>
    <x v="1"/>
  </r>
  <r>
    <s v="EMP1583"/>
    <s v="Bob"/>
    <s v="Johnson"/>
    <s v="Bob Johnson"/>
    <x v="1"/>
    <x v="3"/>
    <x v="2"/>
    <x v="0"/>
    <s v="01/02/2022"/>
    <x v="3"/>
    <x v="3"/>
    <n v="114963.34"/>
    <x v="2"/>
    <s v="Bob.Johnson@Example.Com"/>
    <n v="6046419784"/>
    <x v="1"/>
    <x v="1"/>
    <x v="1"/>
  </r>
  <r>
    <s v="EMP1584"/>
    <s v="Eva"/>
    <s v="Miller"/>
    <s v="Eva Miller"/>
    <x v="1"/>
    <x v="3"/>
    <x v="0"/>
    <x v="2"/>
    <s v="20/02/2022"/>
    <x v="3"/>
    <x v="3"/>
    <n v="77657.929999999993"/>
    <x v="1"/>
    <s v="Eva.Miller@Example.Com"/>
    <n v="7585126860"/>
    <x v="3"/>
    <x v="3"/>
    <x v="1"/>
  </r>
  <r>
    <s v="EMP1585"/>
    <s v="Heidi"/>
    <s v="Davis"/>
    <s v="Heidi Davis"/>
    <x v="1"/>
    <x v="4"/>
    <x v="4"/>
    <x v="0"/>
    <s v="03/09/2024"/>
    <x v="4"/>
    <x v="4"/>
    <n v="77369.48"/>
    <x v="1"/>
    <s v="Heidi.Davis@Example.Com"/>
    <n v="2059438975"/>
    <x v="0"/>
    <x v="0"/>
    <x v="1"/>
  </r>
  <r>
    <s v="EMP1586"/>
    <s v="Eva"/>
    <s v="Miller"/>
    <s v="Eva Miller"/>
    <x v="1"/>
    <x v="5"/>
    <x v="2"/>
    <x v="1"/>
    <s v="19/08/2023"/>
    <x v="2"/>
    <x v="2"/>
    <n v="76119.14"/>
    <x v="1"/>
    <s v="Eva.Miller@Example.Com"/>
    <n v="740177508"/>
    <x v="2"/>
    <x v="2"/>
    <x v="1"/>
  </r>
  <r>
    <s v="EMP1587"/>
    <s v="Charlie"/>
    <s v="Williams"/>
    <s v="Charlie Williams"/>
    <x v="0"/>
    <x v="3"/>
    <x v="1"/>
    <x v="1"/>
    <s v="05/06/2023"/>
    <x v="2"/>
    <x v="2"/>
    <n v="77585.72"/>
    <x v="1"/>
    <s v="Charlie.Williams@Example.Com"/>
    <n v="5465408423"/>
    <x v="1"/>
    <x v="1"/>
    <x v="1"/>
  </r>
  <r>
    <s v="EMP1588"/>
    <s v="Bob"/>
    <s v="Brown"/>
    <s v="Bob Brown"/>
    <x v="3"/>
    <x v="2"/>
    <x v="2"/>
    <x v="1"/>
    <s v="26/01/2024"/>
    <x v="4"/>
    <x v="4"/>
    <n v="74069.62"/>
    <x v="1"/>
    <s v="Bob.Brown@Example.Com"/>
    <n v="5607540914"/>
    <x v="2"/>
    <x v="2"/>
    <x v="1"/>
  </r>
  <r>
    <s v="EMP1589"/>
    <s v="Charlie"/>
    <s v="Jones"/>
    <s v="Charlie Jones"/>
    <x v="1"/>
    <x v="2"/>
    <x v="4"/>
    <x v="1"/>
    <s v="09/05/2024"/>
    <x v="4"/>
    <x v="4"/>
    <n v="67691.92"/>
    <x v="1"/>
    <s v="Charlie.Jones@Example.Com"/>
    <n v="863218121"/>
    <x v="0"/>
    <x v="0"/>
    <x v="0"/>
  </r>
  <r>
    <s v="EMP1590"/>
    <s v="Alice"/>
    <s v="Smith"/>
    <s v="Alice Smith"/>
    <x v="1"/>
    <x v="1"/>
    <x v="2"/>
    <x v="1"/>
    <s v="29/05/2020"/>
    <x v="1"/>
    <x v="1"/>
    <n v="70345.69"/>
    <x v="1"/>
    <s v="Alice.Smith@Example.Com"/>
    <n v="7645793896"/>
    <x v="1"/>
    <x v="1"/>
    <x v="0"/>
  </r>
  <r>
    <s v="EMP1591"/>
    <s v="Bob"/>
    <s v="Garcia"/>
    <s v="Bob Garcia"/>
    <x v="1"/>
    <x v="0"/>
    <x v="5"/>
    <x v="2"/>
    <s v="11/08/2021"/>
    <x v="0"/>
    <x v="0"/>
    <n v="74999.69"/>
    <x v="1"/>
    <s v="Bob.Garcia@Example.Com"/>
    <n v="155029167"/>
    <x v="2"/>
    <x v="2"/>
    <x v="0"/>
  </r>
  <r>
    <s v="EMP1592"/>
    <s v="David"/>
    <s v="Jones"/>
    <s v="David Jones"/>
    <x v="0"/>
    <x v="5"/>
    <x v="5"/>
    <x v="0"/>
    <s v="31/01/2021"/>
    <x v="0"/>
    <x v="0"/>
    <n v="72245.02"/>
    <x v="1"/>
    <s v="David.Jones@Example.Com"/>
    <n v="1546602415"/>
    <x v="3"/>
    <x v="3"/>
    <x v="0"/>
  </r>
  <r>
    <s v="EMP1593"/>
    <s v="Eva"/>
    <s v="Brown"/>
    <s v="Eva Brown"/>
    <x v="1"/>
    <x v="2"/>
    <x v="5"/>
    <x v="1"/>
    <s v="16/01/2022"/>
    <x v="3"/>
    <x v="3"/>
    <n v="106538.98"/>
    <x v="2"/>
    <s v="Eva.Brown@Example.Com"/>
    <n v="1394498829"/>
    <x v="1"/>
    <x v="1"/>
    <x v="1"/>
  </r>
  <r>
    <s v="EMP1594"/>
    <s v="Charlie"/>
    <s v="Brown"/>
    <s v="Charlie Brown"/>
    <x v="0"/>
    <x v="5"/>
    <x v="4"/>
    <x v="0"/>
    <s v="29/12/2023"/>
    <x v="4"/>
    <x v="2"/>
    <n v="101787.14"/>
    <x v="2"/>
    <s v="Charlie.Brown@Example.Com"/>
    <n v="5973642479"/>
    <x v="2"/>
    <x v="2"/>
    <x v="1"/>
  </r>
  <r>
    <s v="EMP1595"/>
    <s v="Frank"/>
    <s v="Brown"/>
    <s v="Frank Brown"/>
    <x v="1"/>
    <x v="0"/>
    <x v="2"/>
    <x v="2"/>
    <s v="12/02/2024"/>
    <x v="4"/>
    <x v="4"/>
    <n v="83596.78"/>
    <x v="1"/>
    <s v="Frank.Brown@Example.Com"/>
    <n v="9624406305"/>
    <x v="0"/>
    <x v="0"/>
    <x v="1"/>
  </r>
  <r>
    <s v="EMP1596"/>
    <s v="Eva"/>
    <s v="Jones"/>
    <s v="Eva Jones"/>
    <x v="2"/>
    <x v="4"/>
    <x v="1"/>
    <x v="0"/>
    <s v="15/08/2023"/>
    <x v="2"/>
    <x v="2"/>
    <n v="92463.94"/>
    <x v="2"/>
    <s v="Eva.Jones@Example.Com"/>
    <n v="2447951329"/>
    <x v="0"/>
    <x v="0"/>
    <x v="0"/>
  </r>
  <r>
    <s v="EMP1597"/>
    <s v="Charlie"/>
    <s v="Davis"/>
    <s v="Charlie Davis"/>
    <x v="1"/>
    <x v="2"/>
    <x v="0"/>
    <x v="1"/>
    <s v="20/12/2024"/>
    <x v="5"/>
    <x v="4"/>
    <n v="93863.32"/>
    <x v="2"/>
    <s v="Charlie.Davis@Example.Com"/>
    <n v="5319497968"/>
    <x v="1"/>
    <x v="1"/>
    <x v="1"/>
  </r>
  <r>
    <s v="EMP1598"/>
    <s v="Alice"/>
    <s v="Brown"/>
    <s v="Alice Brown"/>
    <x v="1"/>
    <x v="0"/>
    <x v="1"/>
    <x v="1"/>
    <s v="31/03/2023"/>
    <x v="2"/>
    <x v="2"/>
    <n v="78359.41"/>
    <x v="1"/>
    <s v="Alice.Brown@Example.Com"/>
    <n v="5867805554"/>
    <x v="2"/>
    <x v="2"/>
    <x v="1"/>
  </r>
  <r>
    <s v="EMP1599"/>
    <s v="Alice"/>
    <s v="Miller"/>
    <s v="Alice Miller"/>
    <x v="1"/>
    <x v="5"/>
    <x v="5"/>
    <x v="1"/>
    <s v="24/08/2022"/>
    <x v="3"/>
    <x v="3"/>
    <n v="95773.57"/>
    <x v="2"/>
    <s v="Alice.Miller@Example.Com"/>
    <n v="7277382645"/>
    <x v="1"/>
    <x v="1"/>
    <x v="1"/>
  </r>
  <r>
    <s v="EMP1600"/>
    <s v="Grace"/>
    <s v="Jones"/>
    <s v="Grace Jones"/>
    <x v="1"/>
    <x v="4"/>
    <x v="2"/>
    <x v="2"/>
    <s v="10/01/2020"/>
    <x v="1"/>
    <x v="1"/>
    <n v="82529.08"/>
    <x v="1"/>
    <s v="Grace.Jones@Example.Com"/>
    <n v="917851384"/>
    <x v="1"/>
    <x v="1"/>
    <x v="0"/>
  </r>
  <r>
    <s v="EMP1601"/>
    <s v="Grace"/>
    <s v="Garcia"/>
    <s v="Grace Garcia"/>
    <x v="3"/>
    <x v="4"/>
    <x v="1"/>
    <x v="1"/>
    <s v="05/04/2021"/>
    <x v="0"/>
    <x v="0"/>
    <n v="109358.73"/>
    <x v="2"/>
    <s v="Grace.Garcia@Example.Com"/>
    <n v="4457702991"/>
    <x v="2"/>
    <x v="2"/>
    <x v="1"/>
  </r>
  <r>
    <s v="EMP1602"/>
    <s v="Charlie"/>
    <s v="Brown"/>
    <s v="Charlie Brown"/>
    <x v="1"/>
    <x v="2"/>
    <x v="3"/>
    <x v="0"/>
    <s v="01/01/2021"/>
    <x v="0"/>
    <x v="0"/>
    <n v="89645.01"/>
    <x v="2"/>
    <s v="Charlie.Brown@Example.Com"/>
    <n v="9596604872"/>
    <x v="2"/>
    <x v="2"/>
    <x v="0"/>
  </r>
  <r>
    <s v="EMP1603"/>
    <s v="Charlie"/>
    <s v="Miller"/>
    <s v="Charlie Miller"/>
    <x v="2"/>
    <x v="5"/>
    <x v="1"/>
    <x v="0"/>
    <s v="04/08/2024"/>
    <x v="4"/>
    <x v="4"/>
    <n v="84134.95"/>
    <x v="1"/>
    <s v="Charlie.Miller@Example.Com"/>
    <n v="6826911632"/>
    <x v="3"/>
    <x v="3"/>
    <x v="0"/>
  </r>
  <r>
    <s v="EMP1604"/>
    <s v="Frank"/>
    <s v="Davis"/>
    <s v="Frank Davis"/>
    <x v="1"/>
    <x v="3"/>
    <x v="2"/>
    <x v="0"/>
    <s v="26/11/2022"/>
    <x v="2"/>
    <x v="3"/>
    <n v="113540.83"/>
    <x v="2"/>
    <s v="Frank.Davis@Example.Com"/>
    <n v="1942268652"/>
    <x v="2"/>
    <x v="2"/>
    <x v="0"/>
  </r>
  <r>
    <s v="EMP1605"/>
    <s v="Heidi"/>
    <s v="Williams"/>
    <s v="Heidi Williams"/>
    <x v="2"/>
    <x v="3"/>
    <x v="1"/>
    <x v="1"/>
    <s v="25/10/2021"/>
    <x v="0"/>
    <x v="0"/>
    <n v="57225.75"/>
    <x v="0"/>
    <s v="Heidi.Williams@Example.Com"/>
    <n v="6945515887"/>
    <x v="0"/>
    <x v="0"/>
    <x v="0"/>
  </r>
  <r>
    <s v="EMP1606"/>
    <s v="Eva"/>
    <s v="Davis"/>
    <s v="Eva Davis"/>
    <x v="3"/>
    <x v="4"/>
    <x v="5"/>
    <x v="1"/>
    <s v="22/12/2020"/>
    <x v="0"/>
    <x v="1"/>
    <n v="76366.17"/>
    <x v="1"/>
    <s v="Eva.Davis@Example.Com"/>
    <n v="6367747225"/>
    <x v="1"/>
    <x v="1"/>
    <x v="1"/>
  </r>
  <r>
    <s v="EMP1607"/>
    <s v="Bob"/>
    <s v="Garcia"/>
    <s v="Bob Garcia"/>
    <x v="1"/>
    <x v="5"/>
    <x v="3"/>
    <x v="0"/>
    <s v="23/11/2022"/>
    <x v="3"/>
    <x v="3"/>
    <n v="78408.95"/>
    <x v="1"/>
    <s v="Bob.Garcia@Example.Com"/>
    <n v="4085721695"/>
    <x v="1"/>
    <x v="1"/>
    <x v="0"/>
  </r>
  <r>
    <s v="EMP1608"/>
    <s v="Frank"/>
    <s v="Brown"/>
    <s v="Frank Brown"/>
    <x v="2"/>
    <x v="1"/>
    <x v="5"/>
    <x v="0"/>
    <s v="24/10/2022"/>
    <x v="3"/>
    <x v="3"/>
    <n v="111742.39999999999"/>
    <x v="2"/>
    <s v="Frank.Brown@Example.Com"/>
    <n v="6630932997"/>
    <x v="0"/>
    <x v="0"/>
    <x v="0"/>
  </r>
  <r>
    <s v="EMP1609"/>
    <s v="David"/>
    <s v="Garcia"/>
    <s v="David Garcia"/>
    <x v="0"/>
    <x v="4"/>
    <x v="2"/>
    <x v="2"/>
    <s v="03/09/2021"/>
    <x v="0"/>
    <x v="0"/>
    <n v="60516.83"/>
    <x v="1"/>
    <s v="David.Garcia@Example.Com"/>
    <n v="1996059328"/>
    <x v="2"/>
    <x v="2"/>
    <x v="1"/>
  </r>
  <r>
    <s v="EMP1610"/>
    <s v="Bob"/>
    <s v="Jones"/>
    <s v="Bob Jones"/>
    <x v="1"/>
    <x v="1"/>
    <x v="0"/>
    <x v="1"/>
    <s v="20/08/2020"/>
    <x v="1"/>
    <x v="1"/>
    <n v="83706.17"/>
    <x v="1"/>
    <s v="Bob.Jones@Example.Com"/>
    <n v="7150968831"/>
    <x v="0"/>
    <x v="0"/>
    <x v="1"/>
  </r>
  <r>
    <s v="EMP1611"/>
    <s v="David"/>
    <s v="Johnson"/>
    <s v="David Johnson"/>
    <x v="1"/>
    <x v="2"/>
    <x v="2"/>
    <x v="2"/>
    <s v="15/02/2020"/>
    <x v="1"/>
    <x v="1"/>
    <n v="67056.92"/>
    <x v="1"/>
    <s v="David.Johnson@Example.Com"/>
    <n v="7532735240"/>
    <x v="0"/>
    <x v="0"/>
    <x v="0"/>
  </r>
  <r>
    <s v="EMP1612"/>
    <s v="Charlie"/>
    <s v="Brown"/>
    <s v="Charlie Brown"/>
    <x v="1"/>
    <x v="0"/>
    <x v="5"/>
    <x v="0"/>
    <s v="29/12/2024"/>
    <x v="5"/>
    <x v="4"/>
    <n v="90058.85"/>
    <x v="2"/>
    <s v="Charlie.Brown@Example.Com"/>
    <n v="397739731"/>
    <x v="3"/>
    <x v="3"/>
    <x v="1"/>
  </r>
  <r>
    <s v="EMP1613"/>
    <s v="Eva"/>
    <s v="Johnson"/>
    <s v="Eva Johnson"/>
    <x v="1"/>
    <x v="4"/>
    <x v="3"/>
    <x v="1"/>
    <s v="28/02/2023"/>
    <x v="2"/>
    <x v="2"/>
    <n v="94633.59"/>
    <x v="2"/>
    <s v="Eva.Johnson@Example.Com"/>
    <n v="7819523709"/>
    <x v="0"/>
    <x v="0"/>
    <x v="0"/>
  </r>
  <r>
    <s v="EMP1614"/>
    <s v="Eva"/>
    <s v="Miller"/>
    <s v="Eva Miller"/>
    <x v="0"/>
    <x v="2"/>
    <x v="3"/>
    <x v="1"/>
    <s v="23/08/2022"/>
    <x v="3"/>
    <x v="3"/>
    <n v="110711.17"/>
    <x v="2"/>
    <s v="Eva.Miller@Example.Com"/>
    <n v="687616480"/>
    <x v="1"/>
    <x v="1"/>
    <x v="0"/>
  </r>
  <r>
    <s v="EMP1615"/>
    <s v="Grace"/>
    <s v="Williams"/>
    <s v="Grace Williams"/>
    <x v="1"/>
    <x v="2"/>
    <x v="5"/>
    <x v="0"/>
    <s v="30/06/2023"/>
    <x v="2"/>
    <x v="2"/>
    <n v="96175.41"/>
    <x v="2"/>
    <s v="Grace.Williams@Example.Com"/>
    <n v="9807704604"/>
    <x v="0"/>
    <x v="0"/>
    <x v="0"/>
  </r>
  <r>
    <s v="EMP1616"/>
    <s v="Frank"/>
    <s v="Smith"/>
    <s v="Frank Smith"/>
    <x v="2"/>
    <x v="4"/>
    <x v="5"/>
    <x v="0"/>
    <s v="15/04/2021"/>
    <x v="0"/>
    <x v="0"/>
    <n v="76474.789999999994"/>
    <x v="1"/>
    <s v="Frank.Smith@Example.Com"/>
    <n v="6876112490"/>
    <x v="1"/>
    <x v="1"/>
    <x v="0"/>
  </r>
  <r>
    <s v="EMP1617"/>
    <s v="Alice"/>
    <s v="Garcia"/>
    <s v="Alice Garcia"/>
    <x v="1"/>
    <x v="4"/>
    <x v="5"/>
    <x v="1"/>
    <s v="05/09/2022"/>
    <x v="3"/>
    <x v="3"/>
    <n v="107855.99"/>
    <x v="2"/>
    <s v="Alice.Garcia@Example.Com"/>
    <n v="2565237340"/>
    <x v="1"/>
    <x v="1"/>
    <x v="1"/>
  </r>
  <r>
    <s v="EMP1618"/>
    <s v="Charlie"/>
    <s v="Davis"/>
    <s v="Charlie Davis"/>
    <x v="2"/>
    <x v="4"/>
    <x v="5"/>
    <x v="0"/>
    <s v="12/02/2024"/>
    <x v="4"/>
    <x v="4"/>
    <n v="104870.78"/>
    <x v="2"/>
    <s v="Charlie.Davis@Example.Com"/>
    <n v="5177345474"/>
    <x v="1"/>
    <x v="1"/>
    <x v="0"/>
  </r>
  <r>
    <s v="EMP1619"/>
    <s v="Bob"/>
    <s v="Williams"/>
    <s v="Bob Williams"/>
    <x v="0"/>
    <x v="1"/>
    <x v="2"/>
    <x v="0"/>
    <s v="20/05/2023"/>
    <x v="2"/>
    <x v="2"/>
    <n v="0"/>
    <x v="0"/>
    <s v="Bob.Williams@Example.Com"/>
    <n v="7494902283"/>
    <x v="2"/>
    <x v="2"/>
    <x v="1"/>
  </r>
  <r>
    <s v="EMP1620"/>
    <s v="Grace"/>
    <s v="Brown"/>
    <s v="Grace Brown"/>
    <x v="1"/>
    <x v="1"/>
    <x v="0"/>
    <x v="0"/>
    <s v="29/11/2023"/>
    <x v="4"/>
    <x v="2"/>
    <n v="87087.16"/>
    <x v="2"/>
    <s v="Grace.Brown@Example.Com"/>
    <n v="359544293"/>
    <x v="3"/>
    <x v="3"/>
    <x v="1"/>
  </r>
  <r>
    <s v="EMP1621"/>
    <s v="Heidi"/>
    <s v="Johnson"/>
    <s v="Heidi Johnson"/>
    <x v="2"/>
    <x v="5"/>
    <x v="5"/>
    <x v="1"/>
    <s v="04/08/2024"/>
    <x v="4"/>
    <x v="4"/>
    <n v="108603.34"/>
    <x v="2"/>
    <s v="Heidi.Johnson@Example.Com"/>
    <n v="7742229463"/>
    <x v="1"/>
    <x v="1"/>
    <x v="1"/>
  </r>
  <r>
    <s v="EMP1622"/>
    <s v="Grace"/>
    <s v="Davis"/>
    <s v="Grace Davis"/>
    <x v="1"/>
    <x v="5"/>
    <x v="3"/>
    <x v="0"/>
    <s v="25/10/2024"/>
    <x v="4"/>
    <x v="4"/>
    <n v="55867.23"/>
    <x v="0"/>
    <s v="Grace.Davis@Example.Com"/>
    <n v="3039429044"/>
    <x v="1"/>
    <x v="1"/>
    <x v="1"/>
  </r>
  <r>
    <s v="EMP1623"/>
    <s v="Grace"/>
    <s v="Johnson"/>
    <s v="Grace Johnson"/>
    <x v="3"/>
    <x v="2"/>
    <x v="1"/>
    <x v="1"/>
    <s v="03/02/2024"/>
    <x v="4"/>
    <x v="4"/>
    <n v="105259.57"/>
    <x v="2"/>
    <s v="Grace.Johnson@Example.Com"/>
    <n v="8867925297"/>
    <x v="2"/>
    <x v="2"/>
    <x v="0"/>
  </r>
  <r>
    <s v="EMP1624"/>
    <s v="Bob"/>
    <s v="Jones"/>
    <s v="Bob Jones"/>
    <x v="1"/>
    <x v="3"/>
    <x v="3"/>
    <x v="1"/>
    <s v="24/02/2021"/>
    <x v="0"/>
    <x v="0"/>
    <n v="98143.67"/>
    <x v="2"/>
    <s v="Bob.Jones@Example.Com"/>
    <n v="5856728726"/>
    <x v="1"/>
    <x v="1"/>
    <x v="1"/>
  </r>
  <r>
    <s v="EMP1625"/>
    <s v="Frank"/>
    <s v="Johnson"/>
    <s v="Frank Johnson"/>
    <x v="0"/>
    <x v="2"/>
    <x v="3"/>
    <x v="1"/>
    <s v="13/04/2023"/>
    <x v="2"/>
    <x v="2"/>
    <n v="67754.289999999994"/>
    <x v="1"/>
    <s v="Frank.Johnson@Example.Com"/>
    <n v="6015343323"/>
    <x v="0"/>
    <x v="0"/>
    <x v="0"/>
  </r>
  <r>
    <s v="EMP1626"/>
    <s v="Grace"/>
    <s v="Jones"/>
    <s v="Grace Jones"/>
    <x v="1"/>
    <x v="5"/>
    <x v="5"/>
    <x v="2"/>
    <s v="25/10/2023"/>
    <x v="2"/>
    <x v="2"/>
    <n v="77821.789999999994"/>
    <x v="1"/>
    <s v="Grace.Jones@Example.Com"/>
    <n v="9135779082"/>
    <x v="0"/>
    <x v="0"/>
    <x v="1"/>
  </r>
  <r>
    <s v="EMP1627"/>
    <s v="Heidi"/>
    <s v="Miller"/>
    <s v="Heidi Miller"/>
    <x v="1"/>
    <x v="5"/>
    <x v="5"/>
    <x v="1"/>
    <s v="17/09/2022"/>
    <x v="3"/>
    <x v="3"/>
    <n v="67764.44"/>
    <x v="1"/>
    <s v="Heidi.Miller@Example.Com"/>
    <n v="3506158147"/>
    <x v="3"/>
    <x v="3"/>
    <x v="1"/>
  </r>
  <r>
    <s v="EMP1628"/>
    <s v="Frank"/>
    <s v="Davis"/>
    <s v="Frank Davis"/>
    <x v="2"/>
    <x v="0"/>
    <x v="4"/>
    <x v="1"/>
    <s v="31/08/2020"/>
    <x v="1"/>
    <x v="1"/>
    <n v="102346.99"/>
    <x v="2"/>
    <s v="Frank.Davis@Example.Com"/>
    <n v="8810798333"/>
    <x v="1"/>
    <x v="1"/>
    <x v="0"/>
  </r>
  <r>
    <s v="EMP1629"/>
    <s v="Charlie"/>
    <s v="Davis"/>
    <s v="Charlie Davis"/>
    <x v="0"/>
    <x v="2"/>
    <x v="5"/>
    <x v="2"/>
    <s v="28/05/2024"/>
    <x v="4"/>
    <x v="4"/>
    <n v="73690.649999999994"/>
    <x v="1"/>
    <s v="Charlie.Davis@Example.Com"/>
    <n v="2337209483"/>
    <x v="2"/>
    <x v="2"/>
    <x v="0"/>
  </r>
  <r>
    <s v="EMP1630"/>
    <s v="Alice"/>
    <s v="Smith"/>
    <s v="Alice Smith"/>
    <x v="1"/>
    <x v="1"/>
    <x v="2"/>
    <x v="0"/>
    <s v="07/05/2024"/>
    <x v="4"/>
    <x v="4"/>
    <n v="56376.2"/>
    <x v="0"/>
    <s v="Alice.Smith@Example.Com"/>
    <n v="1312840332"/>
    <x v="0"/>
    <x v="0"/>
    <x v="0"/>
  </r>
  <r>
    <s v="EMP1631"/>
    <s v="Grace"/>
    <s v="Brown"/>
    <s v="Grace Brown"/>
    <x v="0"/>
    <x v="3"/>
    <x v="0"/>
    <x v="0"/>
    <s v="29/01/2022"/>
    <x v="3"/>
    <x v="3"/>
    <n v="55602.78"/>
    <x v="0"/>
    <s v="Grace.Brown@Example.Com"/>
    <n v="9977180512"/>
    <x v="2"/>
    <x v="2"/>
    <x v="1"/>
  </r>
  <r>
    <s v="EMP1632"/>
    <s v="Grace"/>
    <s v="Jones"/>
    <s v="Grace Jones"/>
    <x v="2"/>
    <x v="4"/>
    <x v="2"/>
    <x v="1"/>
    <s v="08/09/2021"/>
    <x v="0"/>
    <x v="0"/>
    <n v="99812.41"/>
    <x v="2"/>
    <s v="Grace.Jones@Example.Com"/>
    <n v="7171731892"/>
    <x v="2"/>
    <x v="2"/>
    <x v="1"/>
  </r>
  <r>
    <s v="EMP1633"/>
    <s v="Charlie"/>
    <s v="Smith"/>
    <s v="Charlie Smith"/>
    <x v="2"/>
    <x v="1"/>
    <x v="1"/>
    <x v="0"/>
    <s v="10/07/2024"/>
    <x v="4"/>
    <x v="4"/>
    <n v="95981.9"/>
    <x v="2"/>
    <s v="Charlie.Smith@Example.Com"/>
    <n v="9749096172"/>
    <x v="0"/>
    <x v="0"/>
    <x v="0"/>
  </r>
  <r>
    <s v="EMP1634"/>
    <s v="Eva"/>
    <s v="Johnson"/>
    <s v="Eva Johnson"/>
    <x v="1"/>
    <x v="3"/>
    <x v="5"/>
    <x v="1"/>
    <s v="22/11/2022"/>
    <x v="3"/>
    <x v="3"/>
    <n v="98891.48"/>
    <x v="2"/>
    <s v="Eva.Johnson@Example.Com"/>
    <n v="9970469471"/>
    <x v="2"/>
    <x v="2"/>
    <x v="0"/>
  </r>
  <r>
    <s v="EMP1635"/>
    <s v="Alice"/>
    <s v="Johnson"/>
    <s v="Alice Johnson"/>
    <x v="3"/>
    <x v="2"/>
    <x v="2"/>
    <x v="0"/>
    <s v="18/11/2020"/>
    <x v="1"/>
    <x v="1"/>
    <n v="56079"/>
    <x v="0"/>
    <s v="Alice.Johnson@Example.Com"/>
    <n v="5878444834"/>
    <x v="0"/>
    <x v="0"/>
    <x v="0"/>
  </r>
  <r>
    <s v="EMP1636"/>
    <s v="Grace"/>
    <s v="Smith"/>
    <s v="Grace Smith"/>
    <x v="3"/>
    <x v="0"/>
    <x v="3"/>
    <x v="2"/>
    <s v="15/04/2023"/>
    <x v="2"/>
    <x v="2"/>
    <n v="0"/>
    <x v="0"/>
    <s v="Grace.Smith@Example.Com"/>
    <n v="4884712704"/>
    <x v="2"/>
    <x v="2"/>
    <x v="0"/>
  </r>
  <r>
    <s v="EMP1637"/>
    <s v="Bob"/>
    <s v="Davis"/>
    <s v="Bob Davis"/>
    <x v="0"/>
    <x v="4"/>
    <x v="0"/>
    <x v="1"/>
    <s v="26/08/2024"/>
    <x v="4"/>
    <x v="4"/>
    <n v="89137.97"/>
    <x v="2"/>
    <s v="Bob.Davis@Example.Com"/>
    <n v="8772216416"/>
    <x v="0"/>
    <x v="0"/>
    <x v="1"/>
  </r>
  <r>
    <s v="EMP1638"/>
    <s v="Frank"/>
    <s v="Johnson"/>
    <s v="Frank Johnson"/>
    <x v="3"/>
    <x v="2"/>
    <x v="5"/>
    <x v="0"/>
    <s v="20/07/2022"/>
    <x v="3"/>
    <x v="3"/>
    <n v="115079.97"/>
    <x v="2"/>
    <s v="Frank.Johnson@Example.Com"/>
    <n v="5823133483"/>
    <x v="1"/>
    <x v="1"/>
    <x v="0"/>
  </r>
  <r>
    <s v="EMP1639"/>
    <s v="Eva"/>
    <s v="Garcia"/>
    <s v="Eva Garcia"/>
    <x v="1"/>
    <x v="1"/>
    <x v="5"/>
    <x v="0"/>
    <s v="18/02/2023"/>
    <x v="2"/>
    <x v="2"/>
    <n v="55067.02"/>
    <x v="0"/>
    <s v="Eva.Garcia@Example.Com"/>
    <n v="5871493924"/>
    <x v="3"/>
    <x v="3"/>
    <x v="0"/>
  </r>
  <r>
    <s v="EMP1640"/>
    <s v="Bob"/>
    <s v="Miller"/>
    <s v="Bob Miller"/>
    <x v="1"/>
    <x v="5"/>
    <x v="5"/>
    <x v="1"/>
    <s v="27/05/2021"/>
    <x v="0"/>
    <x v="0"/>
    <n v="98593.43"/>
    <x v="2"/>
    <s v="Bob.Miller@Example.Com"/>
    <n v="2362292586"/>
    <x v="0"/>
    <x v="0"/>
    <x v="0"/>
  </r>
  <r>
    <s v="EMP1641"/>
    <s v="Heidi"/>
    <s v="Miller"/>
    <s v="Heidi Miller"/>
    <x v="1"/>
    <x v="5"/>
    <x v="3"/>
    <x v="1"/>
    <s v="08/01/2022"/>
    <x v="3"/>
    <x v="3"/>
    <n v="112756.67"/>
    <x v="2"/>
    <s v="Heidi.Miller@Example.Com"/>
    <n v="9643474523"/>
    <x v="0"/>
    <x v="0"/>
    <x v="0"/>
  </r>
  <r>
    <s v="EMP1642"/>
    <s v="Heidi"/>
    <s v="Garcia"/>
    <s v="Heidi Garcia"/>
    <x v="0"/>
    <x v="5"/>
    <x v="1"/>
    <x v="2"/>
    <s v="21/07/2023"/>
    <x v="2"/>
    <x v="2"/>
    <n v="105205.92"/>
    <x v="2"/>
    <s v="Heidi.Garcia@Example.Com"/>
    <n v="5557469659"/>
    <x v="3"/>
    <x v="3"/>
    <x v="1"/>
  </r>
  <r>
    <s v="EMP1643"/>
    <s v="David"/>
    <s v="Smith"/>
    <s v="David Smith"/>
    <x v="3"/>
    <x v="1"/>
    <x v="0"/>
    <x v="1"/>
    <s v="01/02/2023"/>
    <x v="2"/>
    <x v="2"/>
    <n v="50680.62"/>
    <x v="0"/>
    <s v="David.Smith@Example.Com"/>
    <n v="6065274032"/>
    <x v="0"/>
    <x v="0"/>
    <x v="0"/>
  </r>
  <r>
    <s v="EMP1644"/>
    <s v="David"/>
    <s v="Garcia"/>
    <s v="David Garcia"/>
    <x v="3"/>
    <x v="3"/>
    <x v="3"/>
    <x v="1"/>
    <s v="13/03/2024"/>
    <x v="4"/>
    <x v="4"/>
    <n v="107475.23"/>
    <x v="2"/>
    <s v="David.Garcia@Example.Com"/>
    <n v="4450566587"/>
    <x v="0"/>
    <x v="0"/>
    <x v="1"/>
  </r>
  <r>
    <s v="EMP1645"/>
    <s v="Charlie"/>
    <s v="Jones"/>
    <s v="Charlie Jones"/>
    <x v="2"/>
    <x v="5"/>
    <x v="0"/>
    <x v="0"/>
    <s v="20/03/2023"/>
    <x v="2"/>
    <x v="2"/>
    <n v="68835.3"/>
    <x v="1"/>
    <s v="Charlie.Jones@Example.Com"/>
    <n v="3398741131"/>
    <x v="2"/>
    <x v="2"/>
    <x v="0"/>
  </r>
  <r>
    <s v="EMP1646"/>
    <s v="David"/>
    <s v="Jones"/>
    <s v="David Jones"/>
    <x v="2"/>
    <x v="0"/>
    <x v="4"/>
    <x v="0"/>
    <s v="15/02/2024"/>
    <x v="4"/>
    <x v="4"/>
    <n v="66943.960000000006"/>
    <x v="1"/>
    <s v="David.Jones@Example.Com"/>
    <n v="5797067348"/>
    <x v="3"/>
    <x v="3"/>
    <x v="0"/>
  </r>
  <r>
    <s v="EMP1647"/>
    <s v="David"/>
    <s v="Smith"/>
    <s v="David Smith"/>
    <x v="1"/>
    <x v="2"/>
    <x v="5"/>
    <x v="2"/>
    <s v="15/11/2020"/>
    <x v="1"/>
    <x v="1"/>
    <n v="104525.69"/>
    <x v="2"/>
    <s v="David.Smith@Example.Com"/>
    <n v="9601054856"/>
    <x v="1"/>
    <x v="1"/>
    <x v="1"/>
  </r>
  <r>
    <s v="EMP1648"/>
    <s v="Bob"/>
    <s v="Garcia"/>
    <s v="Bob Garcia"/>
    <x v="2"/>
    <x v="4"/>
    <x v="1"/>
    <x v="1"/>
    <s v="27/03/2020"/>
    <x v="1"/>
    <x v="1"/>
    <n v="109360.74"/>
    <x v="2"/>
    <s v="Bob.Garcia@Example.Com"/>
    <n v="4172156228"/>
    <x v="0"/>
    <x v="0"/>
    <x v="0"/>
  </r>
  <r>
    <s v="EMP1649"/>
    <s v="Frank"/>
    <s v="Jones"/>
    <s v="Frank Jones"/>
    <x v="2"/>
    <x v="4"/>
    <x v="0"/>
    <x v="2"/>
    <s v="01/09/2021"/>
    <x v="0"/>
    <x v="0"/>
    <n v="118907.63"/>
    <x v="2"/>
    <s v="Frank.Jones@Example.Com"/>
    <n v="4938173597"/>
    <x v="3"/>
    <x v="3"/>
    <x v="1"/>
  </r>
  <r>
    <s v="EMP1650"/>
    <s v="Eva"/>
    <s v="Davis"/>
    <s v="Eva Davis"/>
    <x v="2"/>
    <x v="2"/>
    <x v="5"/>
    <x v="0"/>
    <s v="20/04/2020"/>
    <x v="1"/>
    <x v="1"/>
    <n v="86801.48"/>
    <x v="2"/>
    <s v="Eva.Davis@Example.Com"/>
    <n v="4884021556"/>
    <x v="2"/>
    <x v="2"/>
    <x v="1"/>
  </r>
  <r>
    <s v="EMP1651"/>
    <s v="Alice"/>
    <s v="Garcia"/>
    <s v="Alice Garcia"/>
    <x v="1"/>
    <x v="5"/>
    <x v="3"/>
    <x v="1"/>
    <s v="05/08/2024"/>
    <x v="4"/>
    <x v="4"/>
    <n v="62236.03"/>
    <x v="1"/>
    <s v="Alice.Garcia@Example.Com"/>
    <n v="3257375533"/>
    <x v="1"/>
    <x v="1"/>
    <x v="0"/>
  </r>
  <r>
    <s v="EMP1652"/>
    <s v="Heidi"/>
    <s v="Davis"/>
    <s v="Heidi Davis"/>
    <x v="3"/>
    <x v="0"/>
    <x v="1"/>
    <x v="0"/>
    <s v="10/12/2023"/>
    <x v="4"/>
    <x v="2"/>
    <n v="64752.67"/>
    <x v="1"/>
    <s v="Heidi.Davis@Example.Com"/>
    <n v="4902166669"/>
    <x v="3"/>
    <x v="3"/>
    <x v="1"/>
  </r>
  <r>
    <s v="EMP1653"/>
    <s v="Frank"/>
    <s v="Jones"/>
    <s v="Frank Jones"/>
    <x v="3"/>
    <x v="4"/>
    <x v="0"/>
    <x v="0"/>
    <s v="28/01/2023"/>
    <x v="2"/>
    <x v="2"/>
    <n v="68399.429999999993"/>
    <x v="1"/>
    <s v="Frank.Jones@Example.Com"/>
    <n v="8085096084"/>
    <x v="1"/>
    <x v="1"/>
    <x v="1"/>
  </r>
  <r>
    <s v="EMP1654"/>
    <s v="Frank"/>
    <s v="Miller"/>
    <s v="Frank Miller"/>
    <x v="3"/>
    <x v="2"/>
    <x v="3"/>
    <x v="2"/>
    <s v="03/07/2021"/>
    <x v="0"/>
    <x v="0"/>
    <n v="79336.509999999995"/>
    <x v="1"/>
    <s v="Frank.Miller@Example.Com"/>
    <n v="8749511917"/>
    <x v="1"/>
    <x v="1"/>
    <x v="1"/>
  </r>
  <r>
    <s v="EMP1655"/>
    <s v="Frank"/>
    <s v="Jones"/>
    <s v="Frank Jones"/>
    <x v="2"/>
    <x v="5"/>
    <x v="3"/>
    <x v="0"/>
    <s v="16/03/2023"/>
    <x v="2"/>
    <x v="2"/>
    <n v="59179.74"/>
    <x v="0"/>
    <s v="Frank.Jones@Example.Com"/>
    <n v="1828197930"/>
    <x v="1"/>
    <x v="1"/>
    <x v="1"/>
  </r>
  <r>
    <s v="EMP1656"/>
    <s v="David"/>
    <s v="Davis"/>
    <s v="David Davis"/>
    <x v="0"/>
    <x v="0"/>
    <x v="0"/>
    <x v="0"/>
    <s v="02/11/2023"/>
    <x v="2"/>
    <x v="2"/>
    <n v="80255.31"/>
    <x v="1"/>
    <s v="David.Davis@Example.Com"/>
    <n v="6477251294"/>
    <x v="0"/>
    <x v="0"/>
    <x v="1"/>
  </r>
  <r>
    <s v="EMP1657"/>
    <s v="Charlie"/>
    <s v="Williams"/>
    <s v="Charlie Williams"/>
    <x v="1"/>
    <x v="1"/>
    <x v="1"/>
    <x v="0"/>
    <s v="13/05/2022"/>
    <x v="3"/>
    <x v="3"/>
    <n v="84971.85"/>
    <x v="1"/>
    <s v="Charlie.Williams@Example.Com"/>
    <n v="7860694095"/>
    <x v="0"/>
    <x v="0"/>
    <x v="1"/>
  </r>
  <r>
    <s v="EMP1658"/>
    <s v="Frank"/>
    <s v="Brown"/>
    <s v="Frank Brown"/>
    <x v="2"/>
    <x v="5"/>
    <x v="0"/>
    <x v="1"/>
    <s v="24/10/2024"/>
    <x v="4"/>
    <x v="4"/>
    <n v="89748.42"/>
    <x v="2"/>
    <s v="Frank.Brown@Example.Com"/>
    <n v="35624394"/>
    <x v="2"/>
    <x v="2"/>
    <x v="1"/>
  </r>
  <r>
    <s v="EMP1659"/>
    <s v="Charlie"/>
    <s v="Johnson"/>
    <s v="Charlie Johnson"/>
    <x v="0"/>
    <x v="2"/>
    <x v="0"/>
    <x v="2"/>
    <s v="14/09/2024"/>
    <x v="4"/>
    <x v="4"/>
    <n v="94090.35"/>
    <x v="2"/>
    <s v="Charlie.Johnson@Example.Com"/>
    <n v="8739592322"/>
    <x v="2"/>
    <x v="2"/>
    <x v="1"/>
  </r>
  <r>
    <s v="EMP1660"/>
    <s v="Frank"/>
    <s v="Garcia"/>
    <s v="Frank Garcia"/>
    <x v="3"/>
    <x v="5"/>
    <x v="0"/>
    <x v="1"/>
    <s v="15/02/2023"/>
    <x v="2"/>
    <x v="2"/>
    <n v="115229.12"/>
    <x v="2"/>
    <s v="Frank.Garcia@Example.Com"/>
    <n v="4210890284"/>
    <x v="3"/>
    <x v="3"/>
    <x v="0"/>
  </r>
  <r>
    <s v="EMP1661"/>
    <s v="Alice"/>
    <s v="Williams"/>
    <s v="Alice Williams"/>
    <x v="2"/>
    <x v="3"/>
    <x v="0"/>
    <x v="1"/>
    <s v="25/05/2023"/>
    <x v="2"/>
    <x v="2"/>
    <n v="63927.07"/>
    <x v="1"/>
    <s v="Alice.Williams@Example.Com"/>
    <n v="1553334263"/>
    <x v="2"/>
    <x v="2"/>
    <x v="0"/>
  </r>
  <r>
    <s v="EMP1662"/>
    <s v="Charlie"/>
    <s v="Jones"/>
    <s v="Charlie Jones"/>
    <x v="3"/>
    <x v="5"/>
    <x v="0"/>
    <x v="1"/>
    <s v="11/11/2022"/>
    <x v="3"/>
    <x v="3"/>
    <n v="84124.56"/>
    <x v="1"/>
    <s v="Charlie.Jones@Example.Com"/>
    <n v="3350271606"/>
    <x v="1"/>
    <x v="1"/>
    <x v="1"/>
  </r>
  <r>
    <s v="EMP1663"/>
    <s v="Bob"/>
    <s v="Miller"/>
    <s v="Bob Miller"/>
    <x v="2"/>
    <x v="4"/>
    <x v="0"/>
    <x v="2"/>
    <s v="17/07/2023"/>
    <x v="2"/>
    <x v="2"/>
    <n v="116961.61"/>
    <x v="2"/>
    <s v="Bob.Miller@Example.Com"/>
    <n v="3607763368"/>
    <x v="1"/>
    <x v="1"/>
    <x v="0"/>
  </r>
  <r>
    <s v="EMP1664"/>
    <s v="Frank"/>
    <s v="Smith"/>
    <s v="Frank Smith"/>
    <x v="2"/>
    <x v="0"/>
    <x v="5"/>
    <x v="1"/>
    <s v="04/08/2022"/>
    <x v="3"/>
    <x v="3"/>
    <n v="109423.05"/>
    <x v="2"/>
    <s v="Frank.Smith@Example.Com"/>
    <n v="1128981230"/>
    <x v="0"/>
    <x v="0"/>
    <x v="1"/>
  </r>
  <r>
    <s v="EMP1665"/>
    <s v="Charlie"/>
    <s v="Jones"/>
    <s v="Charlie Jones"/>
    <x v="3"/>
    <x v="2"/>
    <x v="0"/>
    <x v="2"/>
    <s v="30/08/2023"/>
    <x v="2"/>
    <x v="2"/>
    <n v="70394.94"/>
    <x v="1"/>
    <s v="Charlie.Jones@Example.Com"/>
    <n v="7955633184"/>
    <x v="1"/>
    <x v="1"/>
    <x v="1"/>
  </r>
  <r>
    <s v="EMP1666"/>
    <s v="Grace"/>
    <s v="Miller"/>
    <s v="Grace Miller"/>
    <x v="3"/>
    <x v="1"/>
    <x v="0"/>
    <x v="1"/>
    <s v="17/04/2023"/>
    <x v="2"/>
    <x v="2"/>
    <n v="86465.5"/>
    <x v="2"/>
    <s v="Grace.Miller@Example.Com"/>
    <n v="7481700665"/>
    <x v="3"/>
    <x v="3"/>
    <x v="0"/>
  </r>
  <r>
    <s v="EMP1667"/>
    <s v="Charlie"/>
    <s v="Brown"/>
    <s v="Charlie Brown"/>
    <x v="1"/>
    <x v="3"/>
    <x v="4"/>
    <x v="1"/>
    <s v="25/04/2021"/>
    <x v="0"/>
    <x v="0"/>
    <n v="96341.58"/>
    <x v="2"/>
    <s v="Charlie.Brown@Example.Com"/>
    <n v="1554164315"/>
    <x v="1"/>
    <x v="1"/>
    <x v="1"/>
  </r>
  <r>
    <s v="EMP1668"/>
    <s v="Bob"/>
    <s v="Jones"/>
    <s v="Bob Jones"/>
    <x v="1"/>
    <x v="2"/>
    <x v="3"/>
    <x v="0"/>
    <s v="14/07/2020"/>
    <x v="1"/>
    <x v="1"/>
    <n v="54465.47"/>
    <x v="0"/>
    <s v="Bob.Jones@Example.Com"/>
    <n v="7045023289"/>
    <x v="1"/>
    <x v="1"/>
    <x v="1"/>
  </r>
  <r>
    <s v="EMP1669"/>
    <s v="Alice"/>
    <s v="Davis"/>
    <s v="Alice Davis"/>
    <x v="0"/>
    <x v="1"/>
    <x v="5"/>
    <x v="0"/>
    <s v="31/07/2020"/>
    <x v="1"/>
    <x v="1"/>
    <n v="68371.66"/>
    <x v="1"/>
    <s v="Alice.Davis@Example.Com"/>
    <n v="2822700933"/>
    <x v="3"/>
    <x v="3"/>
    <x v="1"/>
  </r>
  <r>
    <s v="EMP1670"/>
    <s v="Grace"/>
    <s v="Smith"/>
    <s v="Grace Smith"/>
    <x v="3"/>
    <x v="2"/>
    <x v="4"/>
    <x v="1"/>
    <s v="08/04/2021"/>
    <x v="0"/>
    <x v="0"/>
    <n v="81021.23"/>
    <x v="1"/>
    <s v="Grace.Smith@Example.Com"/>
    <n v="5962622821"/>
    <x v="2"/>
    <x v="2"/>
    <x v="1"/>
  </r>
  <r>
    <s v="EMP1671"/>
    <s v="Charlie"/>
    <s v="Miller"/>
    <s v="Charlie Miller"/>
    <x v="0"/>
    <x v="3"/>
    <x v="2"/>
    <x v="2"/>
    <s v="28/10/2024"/>
    <x v="4"/>
    <x v="4"/>
    <n v="114069.07"/>
    <x v="2"/>
    <s v="Charlie.Miller@Example.Com"/>
    <n v="5120734653"/>
    <x v="2"/>
    <x v="2"/>
    <x v="0"/>
  </r>
  <r>
    <s v="EMP1672"/>
    <s v="Heidi"/>
    <s v="Miller"/>
    <s v="Heidi Miller"/>
    <x v="1"/>
    <x v="5"/>
    <x v="5"/>
    <x v="2"/>
    <s v="10/03/2020"/>
    <x v="1"/>
    <x v="1"/>
    <n v="117867.96"/>
    <x v="2"/>
    <s v="Heidi.Miller@Example.Com"/>
    <n v="9500507025"/>
    <x v="3"/>
    <x v="3"/>
    <x v="1"/>
  </r>
  <r>
    <s v="EMP1673"/>
    <s v="Charlie"/>
    <s v="Miller"/>
    <s v="Charlie Miller"/>
    <x v="1"/>
    <x v="4"/>
    <x v="3"/>
    <x v="1"/>
    <s v="13/03/2024"/>
    <x v="4"/>
    <x v="4"/>
    <n v="94509.58"/>
    <x v="2"/>
    <s v="Charlie.Miller@Example.Com"/>
    <n v="869822104"/>
    <x v="0"/>
    <x v="0"/>
    <x v="1"/>
  </r>
  <r>
    <s v="EMP1674"/>
    <s v="Eva"/>
    <s v="Brown"/>
    <s v="Eva Brown"/>
    <x v="3"/>
    <x v="1"/>
    <x v="5"/>
    <x v="0"/>
    <s v="07/06/2024"/>
    <x v="4"/>
    <x v="4"/>
    <n v="56268.78"/>
    <x v="0"/>
    <s v="Eva.Brown@Example.Com"/>
    <n v="3161177686"/>
    <x v="1"/>
    <x v="1"/>
    <x v="1"/>
  </r>
  <r>
    <s v="EMP1675"/>
    <s v="Grace"/>
    <s v="Jones"/>
    <s v="Grace Jones"/>
    <x v="3"/>
    <x v="2"/>
    <x v="0"/>
    <x v="0"/>
    <s v="01/01/2020"/>
    <x v="1"/>
    <x v="1"/>
    <n v="86632.14"/>
    <x v="2"/>
    <s v="Grace.Jones@Example.Com"/>
    <n v="2904774257"/>
    <x v="3"/>
    <x v="3"/>
    <x v="0"/>
  </r>
  <r>
    <s v="EMP1676"/>
    <s v="Charlie"/>
    <s v="Brown"/>
    <s v="Charlie Brown"/>
    <x v="3"/>
    <x v="5"/>
    <x v="3"/>
    <x v="1"/>
    <s v="18/01/2020"/>
    <x v="1"/>
    <x v="1"/>
    <n v="98143.9"/>
    <x v="2"/>
    <s v="Charlie.Brown@Example.Com"/>
    <n v="5917793237"/>
    <x v="1"/>
    <x v="1"/>
    <x v="1"/>
  </r>
  <r>
    <s v="EMP1677"/>
    <s v="Heidi"/>
    <s v="Garcia"/>
    <s v="Heidi Garcia"/>
    <x v="3"/>
    <x v="3"/>
    <x v="3"/>
    <x v="2"/>
    <s v="05/07/2023"/>
    <x v="2"/>
    <x v="2"/>
    <n v="0"/>
    <x v="0"/>
    <s v="Heidi.Garcia@Example.Com"/>
    <n v="2231164912"/>
    <x v="0"/>
    <x v="0"/>
    <x v="0"/>
  </r>
  <r>
    <s v="EMP1678"/>
    <s v="Frank"/>
    <s v="Johnson"/>
    <s v="Frank Johnson"/>
    <x v="1"/>
    <x v="1"/>
    <x v="5"/>
    <x v="2"/>
    <s v="19/03/2022"/>
    <x v="3"/>
    <x v="3"/>
    <n v="67492.73"/>
    <x v="1"/>
    <s v="Frank.Johnson@Example.Com"/>
    <n v="3424579888"/>
    <x v="1"/>
    <x v="1"/>
    <x v="0"/>
  </r>
  <r>
    <s v="EMP1679"/>
    <s v="Grace"/>
    <s v="Johnson"/>
    <s v="Grace Johnson"/>
    <x v="2"/>
    <x v="2"/>
    <x v="0"/>
    <x v="0"/>
    <s v="14/05/2022"/>
    <x v="3"/>
    <x v="3"/>
    <n v="93772.61"/>
    <x v="2"/>
    <s v="Grace.Johnson@Example.Com"/>
    <n v="4256529059"/>
    <x v="3"/>
    <x v="3"/>
    <x v="1"/>
  </r>
  <r>
    <s v="EMP1680"/>
    <s v="Eva"/>
    <s v="Garcia"/>
    <s v="Eva Garcia"/>
    <x v="3"/>
    <x v="0"/>
    <x v="2"/>
    <x v="1"/>
    <s v="14/07/2024"/>
    <x v="4"/>
    <x v="4"/>
    <n v="68817.539999999994"/>
    <x v="1"/>
    <s v="Eva.Garcia@Example.Com"/>
    <n v="3202032649"/>
    <x v="1"/>
    <x v="1"/>
    <x v="1"/>
  </r>
  <r>
    <s v="EMP1681"/>
    <s v="Bob"/>
    <s v="Jones"/>
    <s v="Bob Jones"/>
    <x v="1"/>
    <x v="2"/>
    <x v="0"/>
    <x v="0"/>
    <s v="28/07/2023"/>
    <x v="2"/>
    <x v="2"/>
    <n v="81874.009999999995"/>
    <x v="1"/>
    <s v="Bob.Jones@Example.Com"/>
    <n v="9775396736"/>
    <x v="2"/>
    <x v="2"/>
    <x v="0"/>
  </r>
  <r>
    <s v="EMP1682"/>
    <s v="Heidi"/>
    <s v="Davis"/>
    <s v="Heidi Davis"/>
    <x v="1"/>
    <x v="5"/>
    <x v="1"/>
    <x v="0"/>
    <s v="04/11/2020"/>
    <x v="1"/>
    <x v="1"/>
    <n v="117880.14"/>
    <x v="2"/>
    <s v="Heidi.Davis@Example.Com"/>
    <n v="9487148551"/>
    <x v="0"/>
    <x v="0"/>
    <x v="1"/>
  </r>
  <r>
    <s v="EMP1683"/>
    <s v="Bob"/>
    <s v="Brown"/>
    <s v="Bob Brown"/>
    <x v="3"/>
    <x v="5"/>
    <x v="4"/>
    <x v="1"/>
    <s v="16/06/2022"/>
    <x v="3"/>
    <x v="3"/>
    <n v="100897.49"/>
    <x v="2"/>
    <s v="Bob.Brown@Example.Com"/>
    <n v="4578715840"/>
    <x v="0"/>
    <x v="0"/>
    <x v="0"/>
  </r>
  <r>
    <s v="EMP1684"/>
    <s v="Charlie"/>
    <s v="Smith"/>
    <s v="Charlie Smith"/>
    <x v="0"/>
    <x v="1"/>
    <x v="4"/>
    <x v="2"/>
    <s v="05/10/2022"/>
    <x v="3"/>
    <x v="3"/>
    <n v="71810.37"/>
    <x v="1"/>
    <s v="Charlie.Smith@Example.Com"/>
    <n v="5608213710"/>
    <x v="0"/>
    <x v="0"/>
    <x v="0"/>
  </r>
  <r>
    <s v="EMP1685"/>
    <s v="Frank"/>
    <s v="Miller"/>
    <s v="Frank Miller"/>
    <x v="2"/>
    <x v="0"/>
    <x v="1"/>
    <x v="2"/>
    <s v="13/06/2020"/>
    <x v="1"/>
    <x v="1"/>
    <n v="109048.24"/>
    <x v="2"/>
    <s v="Frank.Miller@Example.Com"/>
    <n v="8425476817"/>
    <x v="3"/>
    <x v="3"/>
    <x v="1"/>
  </r>
  <r>
    <s v="EMP1686"/>
    <s v="Alice"/>
    <s v="Miller"/>
    <s v="Alice Miller"/>
    <x v="3"/>
    <x v="1"/>
    <x v="1"/>
    <x v="1"/>
    <s v="20/08/2022"/>
    <x v="3"/>
    <x v="3"/>
    <n v="62712.26"/>
    <x v="1"/>
    <s v="Alice.Miller@Example.Com"/>
    <n v="2683230357"/>
    <x v="0"/>
    <x v="0"/>
    <x v="1"/>
  </r>
  <r>
    <s v="EMP1687"/>
    <s v="Eva"/>
    <s v="Jones"/>
    <s v="Eva Jones"/>
    <x v="2"/>
    <x v="3"/>
    <x v="1"/>
    <x v="1"/>
    <s v="24/05/2021"/>
    <x v="0"/>
    <x v="0"/>
    <n v="76935.850000000006"/>
    <x v="1"/>
    <s v="Eva.Jones@Example.Com"/>
    <n v="9298808582"/>
    <x v="2"/>
    <x v="2"/>
    <x v="0"/>
  </r>
  <r>
    <s v="EMP1688"/>
    <s v="David"/>
    <s v="Davis"/>
    <s v="David Davis"/>
    <x v="0"/>
    <x v="2"/>
    <x v="3"/>
    <x v="1"/>
    <s v="27/04/2024"/>
    <x v="4"/>
    <x v="4"/>
    <n v="56577.22"/>
    <x v="0"/>
    <s v="David.Davis@Example.Com"/>
    <n v="8252129327"/>
    <x v="3"/>
    <x v="3"/>
    <x v="0"/>
  </r>
  <r>
    <s v="EMP1689"/>
    <s v="David"/>
    <s v="Johnson"/>
    <s v="David Johnson"/>
    <x v="2"/>
    <x v="1"/>
    <x v="2"/>
    <x v="2"/>
    <s v="23/10/2021"/>
    <x v="0"/>
    <x v="0"/>
    <n v="61102.8"/>
    <x v="1"/>
    <s v="David.Johnson@Example.Com"/>
    <n v="9634064685"/>
    <x v="2"/>
    <x v="2"/>
    <x v="0"/>
  </r>
  <r>
    <s v="EMP1690"/>
    <s v="Bob"/>
    <s v="Johnson"/>
    <s v="Bob Johnson"/>
    <x v="3"/>
    <x v="1"/>
    <x v="2"/>
    <x v="2"/>
    <s v="02/10/2021"/>
    <x v="0"/>
    <x v="0"/>
    <n v="75229.87"/>
    <x v="1"/>
    <s v="Bob.Johnson@Example.Com"/>
    <n v="7752401483"/>
    <x v="1"/>
    <x v="1"/>
    <x v="0"/>
  </r>
  <r>
    <s v="EMP1691"/>
    <s v="David"/>
    <s v="Miller"/>
    <s v="David Miller"/>
    <x v="0"/>
    <x v="2"/>
    <x v="2"/>
    <x v="2"/>
    <s v="26/10/2021"/>
    <x v="0"/>
    <x v="0"/>
    <n v="51054.74"/>
    <x v="0"/>
    <s v="David.Miller@Example.Com"/>
    <n v="3991062271"/>
    <x v="1"/>
    <x v="1"/>
    <x v="1"/>
  </r>
  <r>
    <s v="EMP1692"/>
    <s v="Bob"/>
    <s v="Jones"/>
    <s v="Bob Jones"/>
    <x v="2"/>
    <x v="2"/>
    <x v="1"/>
    <x v="0"/>
    <s v="04/05/2023"/>
    <x v="2"/>
    <x v="2"/>
    <n v="104843.27"/>
    <x v="2"/>
    <s v="Bob.Jones@Example.Com"/>
    <n v="3626693350"/>
    <x v="1"/>
    <x v="1"/>
    <x v="1"/>
  </r>
  <r>
    <s v="EMP1693"/>
    <s v="Charlie"/>
    <s v="Brown"/>
    <s v="Charlie Brown"/>
    <x v="3"/>
    <x v="3"/>
    <x v="4"/>
    <x v="0"/>
    <s v="20/10/2022"/>
    <x v="3"/>
    <x v="3"/>
    <n v="56398.11"/>
    <x v="0"/>
    <s v="Charlie.Brown@Example.Com"/>
    <n v="3426192371"/>
    <x v="1"/>
    <x v="1"/>
    <x v="1"/>
  </r>
  <r>
    <s v="EMP1694"/>
    <s v="Alice"/>
    <s v="Johnson"/>
    <s v="Alice Johnson"/>
    <x v="0"/>
    <x v="5"/>
    <x v="2"/>
    <x v="0"/>
    <s v="12/07/2023"/>
    <x v="2"/>
    <x v="2"/>
    <n v="87544.73"/>
    <x v="2"/>
    <s v="Alice.Johnson@Example.Com"/>
    <n v="4501848196"/>
    <x v="2"/>
    <x v="2"/>
    <x v="1"/>
  </r>
  <r>
    <s v="EMP1695"/>
    <s v="Heidi"/>
    <s v="Brown"/>
    <s v="Heidi Brown"/>
    <x v="1"/>
    <x v="5"/>
    <x v="5"/>
    <x v="1"/>
    <s v="29/03/2024"/>
    <x v="4"/>
    <x v="4"/>
    <n v="74312.240000000005"/>
    <x v="1"/>
    <s v="Heidi.Brown@Example.Com"/>
    <n v="3741897214"/>
    <x v="3"/>
    <x v="3"/>
    <x v="1"/>
  </r>
  <r>
    <s v="EMP1696"/>
    <s v="David"/>
    <s v="Davis"/>
    <s v="David Davis"/>
    <x v="0"/>
    <x v="0"/>
    <x v="3"/>
    <x v="2"/>
    <s v="23/01/2024"/>
    <x v="4"/>
    <x v="4"/>
    <n v="59431.25"/>
    <x v="0"/>
    <s v="David.Davis@Example.Com"/>
    <n v="4064176926"/>
    <x v="3"/>
    <x v="3"/>
    <x v="0"/>
  </r>
  <r>
    <s v="EMP1697"/>
    <s v="Heidi"/>
    <s v="Johnson"/>
    <s v="Heidi Johnson"/>
    <x v="2"/>
    <x v="4"/>
    <x v="0"/>
    <x v="1"/>
    <s v="28/11/2023"/>
    <x v="4"/>
    <x v="2"/>
    <n v="84306.44"/>
    <x v="1"/>
    <s v="Heidi.Johnson@Example.Com"/>
    <n v="4381199536"/>
    <x v="0"/>
    <x v="0"/>
    <x v="1"/>
  </r>
  <r>
    <s v="EMP1698"/>
    <s v="Frank"/>
    <s v="Johnson"/>
    <s v="Frank Johnson"/>
    <x v="3"/>
    <x v="0"/>
    <x v="3"/>
    <x v="2"/>
    <s v="11/11/2024"/>
    <x v="4"/>
    <x v="4"/>
    <n v="108194.47"/>
    <x v="2"/>
    <s v="Frank.Johnson@Example.Com"/>
    <n v="6601444855"/>
    <x v="2"/>
    <x v="2"/>
    <x v="1"/>
  </r>
  <r>
    <s v="EMP1699"/>
    <s v="Charlie"/>
    <s v="Williams"/>
    <s v="Charlie Williams"/>
    <x v="0"/>
    <x v="4"/>
    <x v="4"/>
    <x v="2"/>
    <s v="28/08/2021"/>
    <x v="0"/>
    <x v="0"/>
    <n v="107359.3"/>
    <x v="2"/>
    <s v="Charlie.Williams@Example.Com"/>
    <n v="4510173972"/>
    <x v="1"/>
    <x v="1"/>
    <x v="1"/>
  </r>
  <r>
    <s v="EMP1700"/>
    <s v="Heidi"/>
    <s v="Johnson"/>
    <s v="Heidi Johnson"/>
    <x v="0"/>
    <x v="0"/>
    <x v="5"/>
    <x v="2"/>
    <s v="02/11/2024"/>
    <x v="4"/>
    <x v="4"/>
    <n v="0"/>
    <x v="0"/>
    <s v="Heidi.Johnson@Example.Com"/>
    <n v="9641789968"/>
    <x v="2"/>
    <x v="2"/>
    <x v="1"/>
  </r>
  <r>
    <s v="EMP1701"/>
    <s v="Frank"/>
    <s v="Garcia"/>
    <s v="Frank Garcia"/>
    <x v="1"/>
    <x v="2"/>
    <x v="0"/>
    <x v="1"/>
    <s v="05/09/2020"/>
    <x v="1"/>
    <x v="1"/>
    <n v="96080.26"/>
    <x v="2"/>
    <s v="Frank.Garcia@Example.Com"/>
    <n v="8609191910"/>
    <x v="0"/>
    <x v="0"/>
    <x v="1"/>
  </r>
  <r>
    <s v="EMP1702"/>
    <s v="Grace"/>
    <s v="Smith"/>
    <s v="Grace Smith"/>
    <x v="1"/>
    <x v="4"/>
    <x v="2"/>
    <x v="2"/>
    <s v="17/04/2024"/>
    <x v="4"/>
    <x v="4"/>
    <n v="88602.75"/>
    <x v="2"/>
    <s v="Grace.Smith@Example.Com"/>
    <n v="3599660576"/>
    <x v="0"/>
    <x v="0"/>
    <x v="0"/>
  </r>
  <r>
    <s v="EMP1703"/>
    <s v="Frank"/>
    <s v="Garcia"/>
    <s v="Frank Garcia"/>
    <x v="2"/>
    <x v="0"/>
    <x v="0"/>
    <x v="0"/>
    <s v="16/07/2020"/>
    <x v="1"/>
    <x v="1"/>
    <n v="86624.04"/>
    <x v="2"/>
    <s v="Frank.Garcia@Example.Com"/>
    <n v="9806603919"/>
    <x v="2"/>
    <x v="2"/>
    <x v="0"/>
  </r>
  <r>
    <s v="EMP1704"/>
    <s v="Charlie"/>
    <s v="Jones"/>
    <s v="Charlie Jones"/>
    <x v="1"/>
    <x v="3"/>
    <x v="4"/>
    <x v="0"/>
    <s v="21/09/2022"/>
    <x v="3"/>
    <x v="3"/>
    <n v="63413.16"/>
    <x v="1"/>
    <s v="Charlie.Jones@Example.Com"/>
    <n v="5146074554"/>
    <x v="2"/>
    <x v="2"/>
    <x v="0"/>
  </r>
  <r>
    <s v="EMP1705"/>
    <s v="Grace"/>
    <s v="Jones"/>
    <s v="Grace Jones"/>
    <x v="2"/>
    <x v="4"/>
    <x v="5"/>
    <x v="1"/>
    <s v="23/04/2023"/>
    <x v="2"/>
    <x v="2"/>
    <n v="67915.7"/>
    <x v="1"/>
    <s v="Grace.Jones@Example.Com"/>
    <n v="3470574237"/>
    <x v="2"/>
    <x v="2"/>
    <x v="1"/>
  </r>
  <r>
    <s v="EMP1706"/>
    <s v="Bob"/>
    <s v="Brown"/>
    <s v="Bob Brown"/>
    <x v="0"/>
    <x v="2"/>
    <x v="2"/>
    <x v="2"/>
    <s v="27/12/2024"/>
    <x v="5"/>
    <x v="4"/>
    <n v="108245.44"/>
    <x v="2"/>
    <s v="Bob.Brown@Example.Com"/>
    <n v="8565271558"/>
    <x v="3"/>
    <x v="3"/>
    <x v="0"/>
  </r>
  <r>
    <s v="EMP1707"/>
    <s v="Alice"/>
    <s v="Garcia"/>
    <s v="Alice Garcia"/>
    <x v="3"/>
    <x v="4"/>
    <x v="2"/>
    <x v="2"/>
    <s v="08/10/2024"/>
    <x v="4"/>
    <x v="4"/>
    <n v="75834.81"/>
    <x v="1"/>
    <s v="Alice.Garcia@Example.Com"/>
    <n v="8354116596"/>
    <x v="1"/>
    <x v="1"/>
    <x v="0"/>
  </r>
  <r>
    <s v="EMP1708"/>
    <s v="Eva"/>
    <s v="Garcia"/>
    <s v="Eva Garcia"/>
    <x v="1"/>
    <x v="3"/>
    <x v="2"/>
    <x v="0"/>
    <s v="09/04/2024"/>
    <x v="4"/>
    <x v="4"/>
    <n v="71273.320000000007"/>
    <x v="1"/>
    <s v="Eva.Garcia@Example.Com"/>
    <n v="2634755751"/>
    <x v="2"/>
    <x v="2"/>
    <x v="1"/>
  </r>
  <r>
    <s v="EMP1709"/>
    <s v="Bob"/>
    <s v="Garcia"/>
    <s v="Bob Garcia"/>
    <x v="0"/>
    <x v="0"/>
    <x v="4"/>
    <x v="1"/>
    <s v="28/02/2022"/>
    <x v="3"/>
    <x v="3"/>
    <n v="63262.23"/>
    <x v="1"/>
    <s v="Bob.Garcia@Example.Com"/>
    <n v="2501394883"/>
    <x v="2"/>
    <x v="2"/>
    <x v="1"/>
  </r>
  <r>
    <s v="EMP1710"/>
    <s v="David"/>
    <s v="Davis"/>
    <s v="David Davis"/>
    <x v="1"/>
    <x v="0"/>
    <x v="4"/>
    <x v="1"/>
    <s v="14/03/2024"/>
    <x v="4"/>
    <x v="4"/>
    <n v="89069.91"/>
    <x v="2"/>
    <s v="David.Davis@Example.Com"/>
    <n v="8826913118"/>
    <x v="2"/>
    <x v="2"/>
    <x v="1"/>
  </r>
  <r>
    <s v="EMP1711"/>
    <s v="Frank"/>
    <s v="Johnson"/>
    <s v="Frank Johnson"/>
    <x v="2"/>
    <x v="0"/>
    <x v="2"/>
    <x v="2"/>
    <s v="13/12/2024"/>
    <x v="5"/>
    <x v="4"/>
    <n v="57287.17"/>
    <x v="0"/>
    <s v="Frank.Johnson@Example.Com"/>
    <n v="6425856260"/>
    <x v="0"/>
    <x v="0"/>
    <x v="0"/>
  </r>
  <r>
    <s v="EMP1712"/>
    <s v="Grace"/>
    <s v="Smith"/>
    <s v="Grace Smith"/>
    <x v="1"/>
    <x v="5"/>
    <x v="2"/>
    <x v="0"/>
    <s v="29/12/2022"/>
    <x v="2"/>
    <x v="3"/>
    <n v="119890.35"/>
    <x v="2"/>
    <s v="Grace.Smith@Example.Com"/>
    <n v="4991537037"/>
    <x v="0"/>
    <x v="0"/>
    <x v="0"/>
  </r>
  <r>
    <s v="EMP1713"/>
    <s v="Frank"/>
    <s v="Brown"/>
    <s v="Frank Brown"/>
    <x v="3"/>
    <x v="4"/>
    <x v="0"/>
    <x v="2"/>
    <s v="24/04/2022"/>
    <x v="3"/>
    <x v="3"/>
    <n v="103492.91"/>
    <x v="2"/>
    <s v="Frank.Brown@Example.Com"/>
    <n v="2407333372"/>
    <x v="3"/>
    <x v="3"/>
    <x v="1"/>
  </r>
  <r>
    <s v="EMP1714"/>
    <s v="Frank"/>
    <s v="Garcia"/>
    <s v="Frank Garcia"/>
    <x v="1"/>
    <x v="2"/>
    <x v="5"/>
    <x v="1"/>
    <s v="14/03/2021"/>
    <x v="0"/>
    <x v="0"/>
    <n v="76254.42"/>
    <x v="1"/>
    <s v="Frank.Garcia@Example.Com"/>
    <n v="2043097767"/>
    <x v="1"/>
    <x v="1"/>
    <x v="1"/>
  </r>
  <r>
    <s v="EMP1715"/>
    <s v="Eva"/>
    <s v="Garcia"/>
    <s v="Eva Garcia"/>
    <x v="3"/>
    <x v="1"/>
    <x v="3"/>
    <x v="2"/>
    <s v="01/01/2020"/>
    <x v="1"/>
    <x v="1"/>
    <n v="100841.93"/>
    <x v="2"/>
    <s v="Eva.Garcia@Example.Com"/>
    <n v="8936289695"/>
    <x v="3"/>
    <x v="3"/>
    <x v="0"/>
  </r>
  <r>
    <s v="EMP1716"/>
    <s v="Alice"/>
    <s v="Williams"/>
    <s v="Alice Williams"/>
    <x v="1"/>
    <x v="2"/>
    <x v="0"/>
    <x v="0"/>
    <s v="09/07/2021"/>
    <x v="0"/>
    <x v="0"/>
    <n v="118907.61"/>
    <x v="2"/>
    <s v="Alice.Williams@Example.Com"/>
    <n v="4546553584"/>
    <x v="1"/>
    <x v="1"/>
    <x v="0"/>
  </r>
  <r>
    <s v="EMP1717"/>
    <s v="Frank"/>
    <s v="Brown"/>
    <s v="Frank Brown"/>
    <x v="0"/>
    <x v="0"/>
    <x v="0"/>
    <x v="1"/>
    <s v="13/11/2022"/>
    <x v="3"/>
    <x v="3"/>
    <n v="88942.62"/>
    <x v="2"/>
    <s v="Frank.Brown@Example.Com"/>
    <n v="1253892186"/>
    <x v="0"/>
    <x v="0"/>
    <x v="1"/>
  </r>
  <r>
    <s v="EMP1718"/>
    <s v="Charlie"/>
    <s v="Garcia"/>
    <s v="Charlie Garcia"/>
    <x v="0"/>
    <x v="3"/>
    <x v="3"/>
    <x v="2"/>
    <s v="15/11/2020"/>
    <x v="1"/>
    <x v="1"/>
    <n v="59688.57"/>
    <x v="0"/>
    <s v="Charlie.Garcia@Example.Com"/>
    <n v="8519358373"/>
    <x v="0"/>
    <x v="0"/>
    <x v="1"/>
  </r>
  <r>
    <s v="EMP1719"/>
    <s v="David"/>
    <s v="Brown"/>
    <s v="David Brown"/>
    <x v="1"/>
    <x v="5"/>
    <x v="0"/>
    <x v="0"/>
    <s v="14/03/2023"/>
    <x v="2"/>
    <x v="2"/>
    <n v="77985.88"/>
    <x v="1"/>
    <s v="David.Brown@Example.Com"/>
    <n v="9079779611"/>
    <x v="0"/>
    <x v="0"/>
    <x v="0"/>
  </r>
  <r>
    <s v="EMP1720"/>
    <s v="Bob"/>
    <s v="Johnson"/>
    <s v="Bob Johnson"/>
    <x v="3"/>
    <x v="1"/>
    <x v="4"/>
    <x v="2"/>
    <s v="18/08/2024"/>
    <x v="4"/>
    <x v="4"/>
    <n v="112931.69"/>
    <x v="2"/>
    <s v="Bob.Johnson@Example.Com"/>
    <n v="878057214"/>
    <x v="3"/>
    <x v="3"/>
    <x v="1"/>
  </r>
  <r>
    <s v="EMP1721"/>
    <s v="Bob"/>
    <s v="Williams"/>
    <s v="Bob Williams"/>
    <x v="1"/>
    <x v="0"/>
    <x v="0"/>
    <x v="0"/>
    <s v="02/05/2024"/>
    <x v="4"/>
    <x v="4"/>
    <n v="106583.88"/>
    <x v="2"/>
    <s v="Bob.Williams@Example.Com"/>
    <n v="1494097625"/>
    <x v="2"/>
    <x v="2"/>
    <x v="0"/>
  </r>
  <r>
    <s v="EMP1722"/>
    <s v="Alice"/>
    <s v="Brown"/>
    <s v="Alice Brown"/>
    <x v="3"/>
    <x v="5"/>
    <x v="3"/>
    <x v="2"/>
    <s v="11/12/2024"/>
    <x v="5"/>
    <x v="4"/>
    <n v="58437.84"/>
    <x v="0"/>
    <s v="Alice.Brown@Example.Com"/>
    <n v="3748453985"/>
    <x v="2"/>
    <x v="2"/>
    <x v="0"/>
  </r>
  <r>
    <s v="EMP1723"/>
    <s v="Alice"/>
    <s v="Smith"/>
    <s v="Alice Smith"/>
    <x v="2"/>
    <x v="3"/>
    <x v="0"/>
    <x v="1"/>
    <s v="25/03/2020"/>
    <x v="1"/>
    <x v="1"/>
    <n v="72352.160000000003"/>
    <x v="1"/>
    <s v="Alice.Smith@Example.Com"/>
    <n v="2895090590"/>
    <x v="0"/>
    <x v="0"/>
    <x v="0"/>
  </r>
  <r>
    <s v="EMP1724"/>
    <s v="Frank"/>
    <s v="Smith"/>
    <s v="Frank Smith"/>
    <x v="1"/>
    <x v="0"/>
    <x v="4"/>
    <x v="0"/>
    <s v="13/04/2020"/>
    <x v="1"/>
    <x v="1"/>
    <n v="97154.47"/>
    <x v="2"/>
    <s v="Frank.Smith@Example.Com"/>
    <n v="1918623391"/>
    <x v="2"/>
    <x v="2"/>
    <x v="0"/>
  </r>
  <r>
    <s v="EMP1725"/>
    <s v="Heidi"/>
    <s v="Jones"/>
    <s v="Heidi Jones"/>
    <x v="1"/>
    <x v="4"/>
    <x v="5"/>
    <x v="0"/>
    <s v="30/03/2021"/>
    <x v="0"/>
    <x v="0"/>
    <n v="80235.5"/>
    <x v="1"/>
    <s v="Heidi.Jones@Example.Com"/>
    <n v="2071511695"/>
    <x v="2"/>
    <x v="2"/>
    <x v="1"/>
  </r>
  <r>
    <s v="EMP1726"/>
    <s v="Charlie"/>
    <s v="Williams"/>
    <s v="Charlie Williams"/>
    <x v="1"/>
    <x v="5"/>
    <x v="1"/>
    <x v="2"/>
    <s v="16/03/2023"/>
    <x v="2"/>
    <x v="2"/>
    <n v="102172.05"/>
    <x v="2"/>
    <s v="Charlie.Williams@Example.Com"/>
    <n v="6672521451"/>
    <x v="3"/>
    <x v="3"/>
    <x v="1"/>
  </r>
  <r>
    <s v="EMP1727"/>
    <s v="Eva"/>
    <s v="Williams"/>
    <s v="Eva Williams"/>
    <x v="0"/>
    <x v="1"/>
    <x v="5"/>
    <x v="2"/>
    <s v="05/03/2024"/>
    <x v="4"/>
    <x v="4"/>
    <n v="98850.94"/>
    <x v="2"/>
    <s v="Eva.Williams@Example.Com"/>
    <n v="6471246334"/>
    <x v="1"/>
    <x v="1"/>
    <x v="0"/>
  </r>
  <r>
    <s v="EMP1728"/>
    <s v="Heidi"/>
    <s v="Jones"/>
    <s v="Heidi Jones"/>
    <x v="1"/>
    <x v="2"/>
    <x v="3"/>
    <x v="2"/>
    <s v="28/08/2023"/>
    <x v="2"/>
    <x v="2"/>
    <n v="89993.15"/>
    <x v="2"/>
    <s v="Heidi.Jones@Example.Com"/>
    <n v="1571840907"/>
    <x v="0"/>
    <x v="0"/>
    <x v="0"/>
  </r>
  <r>
    <s v="EMP1729"/>
    <s v="David"/>
    <s v="Brown"/>
    <s v="David Brown"/>
    <x v="1"/>
    <x v="3"/>
    <x v="0"/>
    <x v="2"/>
    <s v="24/10/2021"/>
    <x v="0"/>
    <x v="0"/>
    <n v="97931.66"/>
    <x v="2"/>
    <s v="David.Brown@Example.Com"/>
    <n v="512080055"/>
    <x v="0"/>
    <x v="0"/>
    <x v="0"/>
  </r>
  <r>
    <s v="EMP1730"/>
    <s v="Bob"/>
    <s v="Williams"/>
    <s v="Bob Williams"/>
    <x v="2"/>
    <x v="1"/>
    <x v="0"/>
    <x v="2"/>
    <s v="25/01/2021"/>
    <x v="0"/>
    <x v="0"/>
    <n v="72451.69"/>
    <x v="1"/>
    <s v="Bob.Williams@Example.Com"/>
    <n v="4099512396"/>
    <x v="3"/>
    <x v="3"/>
    <x v="0"/>
  </r>
  <r>
    <s v="EMP1731"/>
    <s v="Alice"/>
    <s v="Smith"/>
    <s v="Alice Smith"/>
    <x v="3"/>
    <x v="2"/>
    <x v="0"/>
    <x v="1"/>
    <s v="08/09/2024"/>
    <x v="4"/>
    <x v="4"/>
    <n v="119311.14"/>
    <x v="2"/>
    <s v="Alice.Smith@Example.Com"/>
    <n v="2835129591"/>
    <x v="3"/>
    <x v="3"/>
    <x v="0"/>
  </r>
  <r>
    <s v="EMP1732"/>
    <s v="Charlie"/>
    <s v="Smith"/>
    <s v="Charlie Smith"/>
    <x v="2"/>
    <x v="3"/>
    <x v="4"/>
    <x v="0"/>
    <s v="11/04/2023"/>
    <x v="2"/>
    <x v="2"/>
    <n v="76167.460000000006"/>
    <x v="1"/>
    <s v="Charlie.Smith@Example.Com"/>
    <n v="7282709080"/>
    <x v="2"/>
    <x v="2"/>
    <x v="1"/>
  </r>
  <r>
    <s v="EMP1733"/>
    <s v="Bob"/>
    <s v="Garcia"/>
    <s v="Bob Garcia"/>
    <x v="0"/>
    <x v="0"/>
    <x v="1"/>
    <x v="0"/>
    <s v="25/06/2023"/>
    <x v="2"/>
    <x v="2"/>
    <n v="114871.08"/>
    <x v="2"/>
    <s v="Bob.Garcia@Example.Com"/>
    <n v="4415298216"/>
    <x v="0"/>
    <x v="0"/>
    <x v="1"/>
  </r>
  <r>
    <s v="EMP1734"/>
    <s v="Eva"/>
    <s v="Johnson"/>
    <s v="Eva Johnson"/>
    <x v="0"/>
    <x v="5"/>
    <x v="2"/>
    <x v="0"/>
    <s v="16/09/2021"/>
    <x v="0"/>
    <x v="0"/>
    <n v="81504.31"/>
    <x v="1"/>
    <s v="Eva.Johnson@Example.Com"/>
    <n v="3929578670"/>
    <x v="1"/>
    <x v="1"/>
    <x v="1"/>
  </r>
  <r>
    <s v="EMP1735"/>
    <s v="David"/>
    <s v="Williams"/>
    <s v="David Williams"/>
    <x v="1"/>
    <x v="2"/>
    <x v="4"/>
    <x v="1"/>
    <s v="12/07/2022"/>
    <x v="3"/>
    <x v="3"/>
    <n v="102524.86"/>
    <x v="2"/>
    <s v="David.Williams@Example.Com"/>
    <n v="8153523735"/>
    <x v="3"/>
    <x v="3"/>
    <x v="1"/>
  </r>
  <r>
    <s v="EMP1736"/>
    <s v="Charlie"/>
    <s v="Brown"/>
    <s v="Charlie Brown"/>
    <x v="0"/>
    <x v="1"/>
    <x v="5"/>
    <x v="1"/>
    <s v="14/12/2022"/>
    <x v="2"/>
    <x v="3"/>
    <n v="53043.74"/>
    <x v="0"/>
    <s v="Charlie.Brown@Example.Com"/>
    <n v="507918157"/>
    <x v="1"/>
    <x v="1"/>
    <x v="0"/>
  </r>
  <r>
    <s v="EMP1737"/>
    <s v="Eva"/>
    <s v="Jones"/>
    <s v="Eva Jones"/>
    <x v="1"/>
    <x v="0"/>
    <x v="5"/>
    <x v="2"/>
    <s v="18/04/2020"/>
    <x v="1"/>
    <x v="1"/>
    <n v="82547.259999999995"/>
    <x v="1"/>
    <s v="Eva.Jones@Example.Com"/>
    <n v="9988683451"/>
    <x v="1"/>
    <x v="1"/>
    <x v="0"/>
  </r>
  <r>
    <s v="EMP1738"/>
    <s v="Bob"/>
    <s v="Jones"/>
    <s v="Bob Jones"/>
    <x v="2"/>
    <x v="0"/>
    <x v="0"/>
    <x v="1"/>
    <s v="10/11/2024"/>
    <x v="4"/>
    <x v="4"/>
    <n v="113900.81"/>
    <x v="2"/>
    <s v="Bob.Jones@Example.Com"/>
    <n v="7346666169"/>
    <x v="0"/>
    <x v="0"/>
    <x v="0"/>
  </r>
  <r>
    <s v="EMP1739"/>
    <s v="Bob"/>
    <s v="Brown"/>
    <s v="Bob Brown"/>
    <x v="0"/>
    <x v="5"/>
    <x v="2"/>
    <x v="2"/>
    <s v="18/04/2021"/>
    <x v="0"/>
    <x v="0"/>
    <n v="118585.5"/>
    <x v="2"/>
    <s v="Bob.Brown@Example.Com"/>
    <n v="7158796473"/>
    <x v="0"/>
    <x v="0"/>
    <x v="0"/>
  </r>
  <r>
    <s v="EMP1740"/>
    <s v="Bob"/>
    <s v="Davis"/>
    <s v="Bob Davis"/>
    <x v="3"/>
    <x v="1"/>
    <x v="5"/>
    <x v="1"/>
    <s v="29/06/2020"/>
    <x v="1"/>
    <x v="1"/>
    <n v="63049.22"/>
    <x v="1"/>
    <s v="Bob.Davis@Example.Com"/>
    <n v="803149981"/>
    <x v="3"/>
    <x v="3"/>
    <x v="0"/>
  </r>
  <r>
    <s v="EMP1741"/>
    <s v="Heidi"/>
    <s v="Miller"/>
    <s v="Heidi Miller"/>
    <x v="1"/>
    <x v="0"/>
    <x v="1"/>
    <x v="0"/>
    <s v="21/05/2021"/>
    <x v="0"/>
    <x v="0"/>
    <n v="114558.91"/>
    <x v="2"/>
    <s v="Heidi.Miller@Example.Com"/>
    <n v="5080046357"/>
    <x v="0"/>
    <x v="0"/>
    <x v="1"/>
  </r>
  <r>
    <s v="EMP1742"/>
    <s v="Heidi"/>
    <s v="Johnson"/>
    <s v="Heidi Johnson"/>
    <x v="2"/>
    <x v="0"/>
    <x v="4"/>
    <x v="0"/>
    <s v="12/11/2021"/>
    <x v="0"/>
    <x v="0"/>
    <n v="97901.79"/>
    <x v="2"/>
    <s v="Heidi.Johnson@Example.Com"/>
    <n v="688285030"/>
    <x v="0"/>
    <x v="0"/>
    <x v="0"/>
  </r>
  <r>
    <s v="EMP1743"/>
    <s v="Eva"/>
    <s v="Jones"/>
    <s v="Eva Jones"/>
    <x v="1"/>
    <x v="4"/>
    <x v="0"/>
    <x v="0"/>
    <s v="07/05/2023"/>
    <x v="2"/>
    <x v="2"/>
    <n v="68037.56"/>
    <x v="1"/>
    <s v="Eva.Jones@Example.Com"/>
    <n v="7235137398"/>
    <x v="0"/>
    <x v="0"/>
    <x v="1"/>
  </r>
  <r>
    <s v="EMP1744"/>
    <s v="Alice"/>
    <s v="Williams"/>
    <s v="Alice Williams"/>
    <x v="1"/>
    <x v="5"/>
    <x v="4"/>
    <x v="0"/>
    <s v="30/11/2021"/>
    <x v="3"/>
    <x v="0"/>
    <n v="112802.27"/>
    <x v="2"/>
    <s v="Alice.Williams@Example.Com"/>
    <n v="63140351"/>
    <x v="1"/>
    <x v="1"/>
    <x v="1"/>
  </r>
  <r>
    <s v="EMP1745"/>
    <s v="Bob"/>
    <s v="Johnson"/>
    <s v="Bob Johnson"/>
    <x v="2"/>
    <x v="4"/>
    <x v="2"/>
    <x v="1"/>
    <s v="22/11/2024"/>
    <x v="4"/>
    <x v="4"/>
    <n v="93786.72"/>
    <x v="2"/>
    <s v="Bob.Johnson@Example.Com"/>
    <n v="6356022938"/>
    <x v="3"/>
    <x v="3"/>
    <x v="1"/>
  </r>
  <r>
    <s v="EMP1746"/>
    <s v="David"/>
    <s v="Williams"/>
    <s v="David Williams"/>
    <x v="1"/>
    <x v="2"/>
    <x v="3"/>
    <x v="2"/>
    <s v="24/05/2023"/>
    <x v="2"/>
    <x v="2"/>
    <n v="73049.929999999993"/>
    <x v="1"/>
    <s v="David.Williams@Example.Com"/>
    <n v="4694346065"/>
    <x v="2"/>
    <x v="2"/>
    <x v="1"/>
  </r>
  <r>
    <s v="EMP1747"/>
    <s v="David"/>
    <s v="Davis"/>
    <s v="David Davis"/>
    <x v="1"/>
    <x v="4"/>
    <x v="5"/>
    <x v="1"/>
    <s v="26/06/2024"/>
    <x v="4"/>
    <x v="4"/>
    <n v="64161.72"/>
    <x v="1"/>
    <s v="David.Davis@Example.Com"/>
    <n v="6437490606"/>
    <x v="1"/>
    <x v="1"/>
    <x v="0"/>
  </r>
  <r>
    <s v="EMP1748"/>
    <s v="Charlie"/>
    <s v="Smith"/>
    <s v="Charlie Smith"/>
    <x v="2"/>
    <x v="2"/>
    <x v="2"/>
    <x v="1"/>
    <s v="19/11/2020"/>
    <x v="1"/>
    <x v="1"/>
    <n v="72224.73"/>
    <x v="1"/>
    <s v="Charlie.Smith@Example.Com"/>
    <n v="2311127127"/>
    <x v="0"/>
    <x v="0"/>
    <x v="1"/>
  </r>
  <r>
    <s v="EMP1749"/>
    <s v="Bob"/>
    <s v="Johnson"/>
    <s v="Bob Johnson"/>
    <x v="1"/>
    <x v="5"/>
    <x v="4"/>
    <x v="1"/>
    <s v="03/01/2020"/>
    <x v="1"/>
    <x v="1"/>
    <n v="103580.45"/>
    <x v="2"/>
    <s v="Bob.Johnson@Example.Com"/>
    <n v="5246484493"/>
    <x v="1"/>
    <x v="1"/>
    <x v="1"/>
  </r>
  <r>
    <s v="EMP1750"/>
    <s v="Grace"/>
    <s v="Garcia"/>
    <s v="Grace Garcia"/>
    <x v="2"/>
    <x v="5"/>
    <x v="3"/>
    <x v="1"/>
    <s v="08/09/2024"/>
    <x v="4"/>
    <x v="4"/>
    <n v="112589.11"/>
    <x v="2"/>
    <s v="Grace.Garcia@Example.Com"/>
    <n v="1163187327"/>
    <x v="0"/>
    <x v="0"/>
    <x v="1"/>
  </r>
  <r>
    <s v="EMP1751"/>
    <s v="Eva"/>
    <s v="Jones"/>
    <s v="Eva Jones"/>
    <x v="1"/>
    <x v="2"/>
    <x v="1"/>
    <x v="0"/>
    <s v="13/01/2021"/>
    <x v="0"/>
    <x v="0"/>
    <n v="51833.88"/>
    <x v="0"/>
    <s v="Eva.Jones@Example.Com"/>
    <n v="771130620"/>
    <x v="0"/>
    <x v="0"/>
    <x v="0"/>
  </r>
  <r>
    <s v="EMP1752"/>
    <s v="Eva"/>
    <s v="Johnson"/>
    <s v="Eva Johnson"/>
    <x v="1"/>
    <x v="4"/>
    <x v="5"/>
    <x v="0"/>
    <s v="05/06/2023"/>
    <x v="2"/>
    <x v="2"/>
    <n v="66252.78"/>
    <x v="1"/>
    <s v="Eva.Johnson@Example.Com"/>
    <n v="1369572789"/>
    <x v="1"/>
    <x v="1"/>
    <x v="0"/>
  </r>
  <r>
    <s v="EMP1753"/>
    <s v="Frank"/>
    <s v="Johnson"/>
    <s v="Frank Johnson"/>
    <x v="0"/>
    <x v="0"/>
    <x v="3"/>
    <x v="0"/>
    <s v="25/10/2022"/>
    <x v="3"/>
    <x v="3"/>
    <n v="109229.68"/>
    <x v="2"/>
    <s v="Frank.Johnson@Example.Com"/>
    <n v="8335090253"/>
    <x v="3"/>
    <x v="3"/>
    <x v="0"/>
  </r>
  <r>
    <s v="EMP1754"/>
    <s v="Frank"/>
    <s v="Johnson"/>
    <s v="Frank Johnson"/>
    <x v="1"/>
    <x v="1"/>
    <x v="3"/>
    <x v="2"/>
    <s v="10/08/2020"/>
    <x v="1"/>
    <x v="1"/>
    <n v="61465.05"/>
    <x v="1"/>
    <s v="Frank.Johnson@Example.Com"/>
    <n v="2573066247"/>
    <x v="0"/>
    <x v="0"/>
    <x v="1"/>
  </r>
  <r>
    <s v="EMP1755"/>
    <s v="Grace"/>
    <s v="Miller"/>
    <s v="Grace Miller"/>
    <x v="0"/>
    <x v="5"/>
    <x v="3"/>
    <x v="0"/>
    <s v="29/02/2024"/>
    <x v="4"/>
    <x v="4"/>
    <n v="96993.74"/>
    <x v="2"/>
    <s v="Grace.Miller@Example.Com"/>
    <n v="1323570712"/>
    <x v="3"/>
    <x v="3"/>
    <x v="1"/>
  </r>
  <r>
    <s v="EMP1756"/>
    <s v="David"/>
    <s v="Johnson"/>
    <s v="David Johnson"/>
    <x v="0"/>
    <x v="2"/>
    <x v="3"/>
    <x v="1"/>
    <s v="30/09/2022"/>
    <x v="3"/>
    <x v="3"/>
    <n v="98150.39"/>
    <x v="2"/>
    <s v="David.Johnson@Example.Com"/>
    <n v="9848228500"/>
    <x v="2"/>
    <x v="2"/>
    <x v="0"/>
  </r>
  <r>
    <s v="EMP1757"/>
    <s v="David"/>
    <s v="Williams"/>
    <s v="David Williams"/>
    <x v="2"/>
    <x v="1"/>
    <x v="1"/>
    <x v="1"/>
    <s v="14/02/2024"/>
    <x v="4"/>
    <x v="4"/>
    <n v="107703"/>
    <x v="2"/>
    <s v="David.Williams@Example.Com"/>
    <n v="1688092549"/>
    <x v="0"/>
    <x v="0"/>
    <x v="1"/>
  </r>
  <r>
    <s v="EMP1758"/>
    <s v="Grace"/>
    <s v="Smith"/>
    <s v="Grace Smith"/>
    <x v="1"/>
    <x v="0"/>
    <x v="5"/>
    <x v="1"/>
    <s v="01/03/2023"/>
    <x v="2"/>
    <x v="2"/>
    <n v="86766.14"/>
    <x v="2"/>
    <s v="Grace.Smith@Example.Com"/>
    <n v="2130609068"/>
    <x v="3"/>
    <x v="3"/>
    <x v="0"/>
  </r>
  <r>
    <s v="EMP1759"/>
    <s v="Alice"/>
    <s v="Davis"/>
    <s v="Alice Davis"/>
    <x v="1"/>
    <x v="3"/>
    <x v="3"/>
    <x v="2"/>
    <s v="20/08/2024"/>
    <x v="4"/>
    <x v="4"/>
    <n v="111443.69"/>
    <x v="2"/>
    <s v="Alice.Davis@Example.Com"/>
    <n v="1309810795"/>
    <x v="3"/>
    <x v="3"/>
    <x v="0"/>
  </r>
  <r>
    <s v="EMP1760"/>
    <s v="David"/>
    <s v="Brown"/>
    <s v="David Brown"/>
    <x v="1"/>
    <x v="4"/>
    <x v="3"/>
    <x v="1"/>
    <s v="21/03/2020"/>
    <x v="1"/>
    <x v="1"/>
    <n v="89039.07"/>
    <x v="2"/>
    <s v="David.Brown@Example.Com"/>
    <n v="4967379456"/>
    <x v="2"/>
    <x v="2"/>
    <x v="1"/>
  </r>
  <r>
    <s v="EMP1761"/>
    <s v="Alice"/>
    <s v="Johnson"/>
    <s v="Alice Johnson"/>
    <x v="1"/>
    <x v="5"/>
    <x v="3"/>
    <x v="2"/>
    <s v="16/12/2024"/>
    <x v="5"/>
    <x v="4"/>
    <n v="71318.789999999994"/>
    <x v="1"/>
    <s v="Alice.Johnson@Example.Com"/>
    <n v="7278532425"/>
    <x v="3"/>
    <x v="3"/>
    <x v="1"/>
  </r>
  <r>
    <s v="EMP1762"/>
    <s v="Heidi"/>
    <s v="Jones"/>
    <s v="Heidi Jones"/>
    <x v="1"/>
    <x v="1"/>
    <x v="0"/>
    <x v="1"/>
    <s v="21/04/2020"/>
    <x v="1"/>
    <x v="1"/>
    <n v="98296.71"/>
    <x v="2"/>
    <s v="Heidi.Jones@Example.Com"/>
    <n v="4250642075"/>
    <x v="3"/>
    <x v="3"/>
    <x v="1"/>
  </r>
  <r>
    <s v="EMP1763"/>
    <s v="Heidi"/>
    <s v="Johnson"/>
    <s v="Heidi Johnson"/>
    <x v="2"/>
    <x v="3"/>
    <x v="2"/>
    <x v="1"/>
    <s v="19/08/2020"/>
    <x v="1"/>
    <x v="1"/>
    <n v="62584"/>
    <x v="1"/>
    <s v="Heidi.Johnson@Example.Com"/>
    <n v="8362536666"/>
    <x v="2"/>
    <x v="2"/>
    <x v="1"/>
  </r>
  <r>
    <s v="EMP1764"/>
    <s v="Charlie"/>
    <s v="Jones"/>
    <s v="Charlie Jones"/>
    <x v="2"/>
    <x v="1"/>
    <x v="0"/>
    <x v="2"/>
    <s v="21/02/2020"/>
    <x v="1"/>
    <x v="1"/>
    <n v="62521.5"/>
    <x v="1"/>
    <s v="Charlie.Jones@Example.Com"/>
    <n v="7767555627"/>
    <x v="0"/>
    <x v="0"/>
    <x v="0"/>
  </r>
  <r>
    <s v="EMP1765"/>
    <s v="David"/>
    <s v="Williams"/>
    <s v="David Williams"/>
    <x v="2"/>
    <x v="3"/>
    <x v="0"/>
    <x v="2"/>
    <s v="17/11/2023"/>
    <x v="2"/>
    <x v="2"/>
    <n v="95400.35"/>
    <x v="2"/>
    <s v="David.Williams@Example.Com"/>
    <n v="3333939577"/>
    <x v="3"/>
    <x v="3"/>
    <x v="0"/>
  </r>
  <r>
    <s v="EMP1766"/>
    <s v="Charlie"/>
    <s v="Jones"/>
    <s v="Charlie Jones"/>
    <x v="0"/>
    <x v="3"/>
    <x v="1"/>
    <x v="1"/>
    <s v="07/09/2022"/>
    <x v="3"/>
    <x v="3"/>
    <n v="94385.07"/>
    <x v="2"/>
    <s v="Charlie.Jones@Example.Com"/>
    <n v="6543627186"/>
    <x v="3"/>
    <x v="3"/>
    <x v="0"/>
  </r>
  <r>
    <s v="EMP1767"/>
    <s v="Grace"/>
    <s v="Garcia"/>
    <s v="Grace Garcia"/>
    <x v="1"/>
    <x v="4"/>
    <x v="4"/>
    <x v="2"/>
    <s v="02/01/2023"/>
    <x v="2"/>
    <x v="2"/>
    <n v="76642.490000000005"/>
    <x v="1"/>
    <s v="Grace.Garcia@Example.Com"/>
    <n v="4960335825"/>
    <x v="3"/>
    <x v="3"/>
    <x v="0"/>
  </r>
  <r>
    <s v="EMP1768"/>
    <s v="Frank"/>
    <s v="Brown"/>
    <s v="Frank Brown"/>
    <x v="1"/>
    <x v="0"/>
    <x v="4"/>
    <x v="0"/>
    <s v="14/11/2024"/>
    <x v="4"/>
    <x v="4"/>
    <n v="60122.52"/>
    <x v="1"/>
    <s v="Frank.Brown@Example.Com"/>
    <n v="8627036923"/>
    <x v="1"/>
    <x v="1"/>
    <x v="0"/>
  </r>
  <r>
    <s v="EMP1769"/>
    <s v="Alice"/>
    <s v="Smith"/>
    <s v="Alice Smith"/>
    <x v="2"/>
    <x v="5"/>
    <x v="0"/>
    <x v="1"/>
    <s v="23/04/2024"/>
    <x v="4"/>
    <x v="4"/>
    <n v="117267.63"/>
    <x v="2"/>
    <s v="Alice.Smith@Example.Com"/>
    <n v="9269326572"/>
    <x v="2"/>
    <x v="2"/>
    <x v="1"/>
  </r>
  <r>
    <s v="EMP1770"/>
    <s v="Charlie"/>
    <s v="Jones"/>
    <s v="Charlie Jones"/>
    <x v="0"/>
    <x v="2"/>
    <x v="4"/>
    <x v="0"/>
    <s v="29/06/2023"/>
    <x v="2"/>
    <x v="2"/>
    <n v="0"/>
    <x v="0"/>
    <s v="Charlie.Jones@Example.Com"/>
    <n v="2759980110"/>
    <x v="1"/>
    <x v="1"/>
    <x v="0"/>
  </r>
  <r>
    <s v="EMP1771"/>
    <s v="Heidi"/>
    <s v="Jones"/>
    <s v="Heidi Jones"/>
    <x v="2"/>
    <x v="4"/>
    <x v="1"/>
    <x v="1"/>
    <s v="12/12/2024"/>
    <x v="5"/>
    <x v="4"/>
    <n v="84542.68"/>
    <x v="1"/>
    <s v="Heidi.Jones@Example.Com"/>
    <n v="5155322"/>
    <x v="2"/>
    <x v="2"/>
    <x v="0"/>
  </r>
  <r>
    <s v="EMP1772"/>
    <s v="Heidi"/>
    <s v="Smith"/>
    <s v="Heidi Smith"/>
    <x v="2"/>
    <x v="1"/>
    <x v="3"/>
    <x v="0"/>
    <s v="16/05/2023"/>
    <x v="2"/>
    <x v="2"/>
    <n v="92007.15"/>
    <x v="2"/>
    <s v="Heidi.Smith@Example.Com"/>
    <n v="4159597751"/>
    <x v="0"/>
    <x v="0"/>
    <x v="0"/>
  </r>
  <r>
    <s v="EMP1773"/>
    <s v="Eva"/>
    <s v="Brown"/>
    <s v="Eva Brown"/>
    <x v="1"/>
    <x v="0"/>
    <x v="5"/>
    <x v="0"/>
    <s v="04/10/2020"/>
    <x v="1"/>
    <x v="1"/>
    <n v="62938.8"/>
    <x v="1"/>
    <s v="Eva.Brown@Example.Com"/>
    <n v="4418222617"/>
    <x v="0"/>
    <x v="0"/>
    <x v="1"/>
  </r>
  <r>
    <s v="EMP1774"/>
    <s v="Frank"/>
    <s v="Johnson"/>
    <s v="Frank Johnson"/>
    <x v="0"/>
    <x v="2"/>
    <x v="1"/>
    <x v="1"/>
    <s v="29/03/2023"/>
    <x v="2"/>
    <x v="2"/>
    <n v="108661.01"/>
    <x v="2"/>
    <s v="Frank.Johnson@Example.Com"/>
    <n v="9628874311"/>
    <x v="3"/>
    <x v="3"/>
    <x v="1"/>
  </r>
  <r>
    <s v="EMP1775"/>
    <s v="Bob"/>
    <s v="Jones"/>
    <s v="Bob Jones"/>
    <x v="0"/>
    <x v="3"/>
    <x v="3"/>
    <x v="0"/>
    <s v="26/11/2020"/>
    <x v="0"/>
    <x v="1"/>
    <n v="97046.33"/>
    <x v="2"/>
    <s v="Bob.Jones@Example.Com"/>
    <n v="7102676719"/>
    <x v="2"/>
    <x v="2"/>
    <x v="1"/>
  </r>
  <r>
    <s v="EMP1776"/>
    <s v="Charlie"/>
    <s v="Smith"/>
    <s v="Charlie Smith"/>
    <x v="2"/>
    <x v="0"/>
    <x v="5"/>
    <x v="2"/>
    <s v="14/03/2020"/>
    <x v="1"/>
    <x v="1"/>
    <n v="56518.84"/>
    <x v="0"/>
    <s v="Charlie.Smith@Example.Com"/>
    <n v="9579927078"/>
    <x v="0"/>
    <x v="0"/>
    <x v="1"/>
  </r>
  <r>
    <s v="EMP1777"/>
    <s v="Frank"/>
    <s v="Garcia"/>
    <s v="Frank Garcia"/>
    <x v="2"/>
    <x v="3"/>
    <x v="3"/>
    <x v="1"/>
    <s v="05/12/2020"/>
    <x v="0"/>
    <x v="1"/>
    <n v="70498.289999999994"/>
    <x v="1"/>
    <s v="Frank.Garcia@Example.Com"/>
    <n v="5515122945"/>
    <x v="2"/>
    <x v="2"/>
    <x v="0"/>
  </r>
  <r>
    <s v="EMP1778"/>
    <s v="Eva"/>
    <s v="Garcia"/>
    <s v="Eva Garcia"/>
    <x v="3"/>
    <x v="4"/>
    <x v="3"/>
    <x v="1"/>
    <s v="03/05/2021"/>
    <x v="0"/>
    <x v="0"/>
    <n v="98708.06"/>
    <x v="2"/>
    <s v="Eva.Garcia@Example.Com"/>
    <n v="2135415969"/>
    <x v="0"/>
    <x v="0"/>
    <x v="0"/>
  </r>
  <r>
    <s v="EMP1779"/>
    <s v="Bob"/>
    <s v="Williams"/>
    <s v="Bob Williams"/>
    <x v="1"/>
    <x v="0"/>
    <x v="2"/>
    <x v="1"/>
    <s v="28/06/2020"/>
    <x v="1"/>
    <x v="1"/>
    <n v="83856.41"/>
    <x v="1"/>
    <s v="Bob.Williams@Example.Com"/>
    <n v="9962543847"/>
    <x v="1"/>
    <x v="1"/>
    <x v="1"/>
  </r>
  <r>
    <s v="EMP1780"/>
    <s v="Eva"/>
    <s v="Smith"/>
    <s v="Eva Smith"/>
    <x v="2"/>
    <x v="4"/>
    <x v="0"/>
    <x v="2"/>
    <s v="12/12/2022"/>
    <x v="2"/>
    <x v="3"/>
    <n v="90259.99"/>
    <x v="2"/>
    <s v="Eva.Smith@Example.Com"/>
    <n v="752034475"/>
    <x v="0"/>
    <x v="0"/>
    <x v="1"/>
  </r>
  <r>
    <s v="EMP1781"/>
    <s v="Charlie"/>
    <s v="Williams"/>
    <s v="Charlie Williams"/>
    <x v="1"/>
    <x v="4"/>
    <x v="3"/>
    <x v="1"/>
    <s v="02/02/2024"/>
    <x v="4"/>
    <x v="4"/>
    <n v="94230.03"/>
    <x v="2"/>
    <s v="Charlie.Williams@Example.Com"/>
    <n v="5047158028"/>
    <x v="1"/>
    <x v="1"/>
    <x v="0"/>
  </r>
  <r>
    <s v="EMP1782"/>
    <s v="Charlie"/>
    <s v="Garcia"/>
    <s v="Charlie Garcia"/>
    <x v="1"/>
    <x v="2"/>
    <x v="2"/>
    <x v="2"/>
    <s v="31/01/2021"/>
    <x v="0"/>
    <x v="0"/>
    <n v="50110.66"/>
    <x v="0"/>
    <s v="Charlie.Garcia@Example.Com"/>
    <n v="904637659"/>
    <x v="0"/>
    <x v="0"/>
    <x v="0"/>
  </r>
  <r>
    <s v="EMP1783"/>
    <s v="Bob"/>
    <s v="Brown"/>
    <s v="Bob Brown"/>
    <x v="1"/>
    <x v="4"/>
    <x v="3"/>
    <x v="2"/>
    <s v="04/03/2020"/>
    <x v="1"/>
    <x v="1"/>
    <n v="73365.460000000006"/>
    <x v="1"/>
    <s v="Bob.Brown@Example.Com"/>
    <n v="4655866524"/>
    <x v="3"/>
    <x v="3"/>
    <x v="1"/>
  </r>
  <r>
    <s v="EMP1784"/>
    <s v="David"/>
    <s v="Johnson"/>
    <s v="David Johnson"/>
    <x v="0"/>
    <x v="0"/>
    <x v="4"/>
    <x v="1"/>
    <s v="30/07/2021"/>
    <x v="0"/>
    <x v="0"/>
    <n v="67809.23"/>
    <x v="1"/>
    <s v="David.Johnson@Example.Com"/>
    <n v="4837441714"/>
    <x v="1"/>
    <x v="1"/>
    <x v="1"/>
  </r>
  <r>
    <s v="EMP1785"/>
    <s v="Eva"/>
    <s v="Smith"/>
    <s v="Eva Smith"/>
    <x v="1"/>
    <x v="4"/>
    <x v="0"/>
    <x v="0"/>
    <s v="21/08/2020"/>
    <x v="1"/>
    <x v="1"/>
    <n v="98008.51"/>
    <x v="2"/>
    <s v="Eva.Smith@Example.Com"/>
    <n v="8102131250"/>
    <x v="0"/>
    <x v="0"/>
    <x v="1"/>
  </r>
  <r>
    <s v="EMP1786"/>
    <s v="Alice"/>
    <s v="Davis"/>
    <s v="Alice Davis"/>
    <x v="1"/>
    <x v="2"/>
    <x v="0"/>
    <x v="2"/>
    <s v="10/09/2023"/>
    <x v="2"/>
    <x v="2"/>
    <n v="83537.58"/>
    <x v="1"/>
    <s v="Alice.Davis@Example.Com"/>
    <n v="2931100590"/>
    <x v="3"/>
    <x v="3"/>
    <x v="1"/>
  </r>
  <r>
    <s v="EMP1787"/>
    <s v="Alice"/>
    <s v="Garcia"/>
    <s v="Alice Garcia"/>
    <x v="1"/>
    <x v="1"/>
    <x v="4"/>
    <x v="1"/>
    <s v="08/01/2022"/>
    <x v="3"/>
    <x v="3"/>
    <n v="112444.08"/>
    <x v="2"/>
    <s v="Alice.Garcia@Example.Com"/>
    <n v="2975191022"/>
    <x v="1"/>
    <x v="1"/>
    <x v="0"/>
  </r>
  <r>
    <s v="EMP1788"/>
    <s v="Frank"/>
    <s v="Garcia"/>
    <s v="Frank Garcia"/>
    <x v="2"/>
    <x v="1"/>
    <x v="2"/>
    <x v="0"/>
    <s v="09/06/2024"/>
    <x v="4"/>
    <x v="4"/>
    <n v="86475.13"/>
    <x v="2"/>
    <s v="Frank.Garcia@Example.Com"/>
    <n v="1211063300"/>
    <x v="3"/>
    <x v="3"/>
    <x v="0"/>
  </r>
  <r>
    <s v="EMP1789"/>
    <s v="Frank"/>
    <s v="Davis"/>
    <s v="Frank Davis"/>
    <x v="1"/>
    <x v="4"/>
    <x v="1"/>
    <x v="0"/>
    <s v="28/03/2023"/>
    <x v="2"/>
    <x v="2"/>
    <n v="97984.53"/>
    <x v="2"/>
    <s v="Frank.Davis@Example.Com"/>
    <n v="6583737926"/>
    <x v="2"/>
    <x v="2"/>
    <x v="0"/>
  </r>
  <r>
    <s v="EMP1790"/>
    <s v="Frank"/>
    <s v="Miller"/>
    <s v="Frank Miller"/>
    <x v="0"/>
    <x v="2"/>
    <x v="0"/>
    <x v="0"/>
    <s v="25/11/2021"/>
    <x v="3"/>
    <x v="0"/>
    <n v="118853.31"/>
    <x v="2"/>
    <s v="Frank.Miller@Example.Com"/>
    <n v="4907280122"/>
    <x v="2"/>
    <x v="2"/>
    <x v="1"/>
  </r>
  <r>
    <s v="EMP1791"/>
    <s v="Charlie"/>
    <s v="Garcia"/>
    <s v="Charlie Garcia"/>
    <x v="1"/>
    <x v="4"/>
    <x v="3"/>
    <x v="0"/>
    <s v="05/03/2023"/>
    <x v="2"/>
    <x v="2"/>
    <n v="58179.12"/>
    <x v="0"/>
    <s v="Charlie.Garcia@Example.Com"/>
    <n v="4289311324"/>
    <x v="1"/>
    <x v="1"/>
    <x v="1"/>
  </r>
  <r>
    <s v="EMP1792"/>
    <s v="Eva"/>
    <s v="Jones"/>
    <s v="Eva Jones"/>
    <x v="3"/>
    <x v="0"/>
    <x v="1"/>
    <x v="2"/>
    <s v="27/04/2022"/>
    <x v="3"/>
    <x v="3"/>
    <n v="56075.839999999997"/>
    <x v="0"/>
    <s v="Eva.Jones@Example.Com"/>
    <n v="3269496842"/>
    <x v="0"/>
    <x v="0"/>
    <x v="0"/>
  </r>
  <r>
    <s v="EMP1793"/>
    <s v="Frank"/>
    <s v="Brown"/>
    <s v="Frank Brown"/>
    <x v="2"/>
    <x v="5"/>
    <x v="4"/>
    <x v="1"/>
    <s v="09/11/2021"/>
    <x v="0"/>
    <x v="0"/>
    <n v="62250.89"/>
    <x v="1"/>
    <s v="Frank.Brown@Example.Com"/>
    <n v="6453804420"/>
    <x v="1"/>
    <x v="1"/>
    <x v="0"/>
  </r>
  <r>
    <s v="EMP1794"/>
    <s v="Alice"/>
    <s v="Smith"/>
    <s v="Alice Smith"/>
    <x v="1"/>
    <x v="3"/>
    <x v="3"/>
    <x v="1"/>
    <s v="21/02/2020"/>
    <x v="1"/>
    <x v="1"/>
    <n v="105931.77"/>
    <x v="2"/>
    <s v="Alice.Smith@Example.Com"/>
    <n v="175096169"/>
    <x v="3"/>
    <x v="3"/>
    <x v="0"/>
  </r>
  <r>
    <s v="EMP1795"/>
    <s v="Charlie"/>
    <s v="Davis"/>
    <s v="Charlie Davis"/>
    <x v="1"/>
    <x v="5"/>
    <x v="3"/>
    <x v="1"/>
    <s v="24/11/2024"/>
    <x v="5"/>
    <x v="4"/>
    <n v="86653.96"/>
    <x v="2"/>
    <s v="Charlie.Davis@Example.Com"/>
    <n v="1595919456"/>
    <x v="0"/>
    <x v="0"/>
    <x v="0"/>
  </r>
  <r>
    <s v="EMP1796"/>
    <s v="Charlie"/>
    <s v="Jones"/>
    <s v="Charlie Jones"/>
    <x v="0"/>
    <x v="4"/>
    <x v="2"/>
    <x v="0"/>
    <s v="24/02/2021"/>
    <x v="0"/>
    <x v="0"/>
    <n v="100719.94"/>
    <x v="2"/>
    <s v="Charlie.Jones@Example.Com"/>
    <n v="5757475832"/>
    <x v="2"/>
    <x v="2"/>
    <x v="1"/>
  </r>
  <r>
    <s v="EMP1797"/>
    <s v="Bob"/>
    <s v="Davis"/>
    <s v="Bob Davis"/>
    <x v="0"/>
    <x v="5"/>
    <x v="1"/>
    <x v="1"/>
    <s v="10/02/2024"/>
    <x v="4"/>
    <x v="4"/>
    <n v="91600.13"/>
    <x v="2"/>
    <s v="Bob.Davis@Example.Com"/>
    <n v="9205677566"/>
    <x v="0"/>
    <x v="0"/>
    <x v="0"/>
  </r>
  <r>
    <s v="EMP1798"/>
    <s v="Heidi"/>
    <s v="Smith"/>
    <s v="Heidi Smith"/>
    <x v="0"/>
    <x v="3"/>
    <x v="5"/>
    <x v="1"/>
    <s v="03/06/2024"/>
    <x v="4"/>
    <x v="4"/>
    <n v="71873.66"/>
    <x v="1"/>
    <s v="Heidi.Smith@Example.Com"/>
    <n v="7722660255"/>
    <x v="2"/>
    <x v="2"/>
    <x v="0"/>
  </r>
  <r>
    <s v="EMP1799"/>
    <s v="Eva"/>
    <s v="Williams"/>
    <s v="Eva Williams"/>
    <x v="1"/>
    <x v="5"/>
    <x v="4"/>
    <x v="0"/>
    <s v="08/09/2021"/>
    <x v="0"/>
    <x v="0"/>
    <n v="69365.47"/>
    <x v="1"/>
    <s v="Eva.Williams@Example.Com"/>
    <n v="2650622922"/>
    <x v="0"/>
    <x v="0"/>
    <x v="0"/>
  </r>
  <r>
    <s v="EMP1800"/>
    <s v="Heidi"/>
    <s v="Smith"/>
    <s v="Heidi Smith"/>
    <x v="0"/>
    <x v="5"/>
    <x v="4"/>
    <x v="0"/>
    <s v="14/07/2021"/>
    <x v="0"/>
    <x v="0"/>
    <n v="58012.23"/>
    <x v="0"/>
    <s v="Heidi.Smith@Example.Com"/>
    <n v="1067245306"/>
    <x v="0"/>
    <x v="0"/>
    <x v="0"/>
  </r>
  <r>
    <s v="EMP1801"/>
    <s v="Bob"/>
    <s v="Miller"/>
    <s v="Bob Miller"/>
    <x v="1"/>
    <x v="4"/>
    <x v="0"/>
    <x v="1"/>
    <s v="14/10/2021"/>
    <x v="0"/>
    <x v="0"/>
    <n v="68973.649999999994"/>
    <x v="1"/>
    <s v="Bob.Miller@Example.Com"/>
    <n v="6248433796"/>
    <x v="0"/>
    <x v="0"/>
    <x v="0"/>
  </r>
  <r>
    <s v="EMP1802"/>
    <s v="Eva"/>
    <s v="Smith"/>
    <s v="Eva Smith"/>
    <x v="1"/>
    <x v="2"/>
    <x v="4"/>
    <x v="0"/>
    <s v="29/09/2021"/>
    <x v="0"/>
    <x v="0"/>
    <n v="92928.4"/>
    <x v="2"/>
    <s v="Eva.Smith@Example.Com"/>
    <n v="6627051156"/>
    <x v="3"/>
    <x v="3"/>
    <x v="0"/>
  </r>
  <r>
    <s v="EMP1803"/>
    <s v="Heidi"/>
    <s v="Smith"/>
    <s v="Heidi Smith"/>
    <x v="0"/>
    <x v="2"/>
    <x v="1"/>
    <x v="2"/>
    <s v="15/10/2023"/>
    <x v="2"/>
    <x v="2"/>
    <n v="53531.92"/>
    <x v="0"/>
    <s v="Heidi.Smith@Example.Com"/>
    <n v="9423873669"/>
    <x v="3"/>
    <x v="3"/>
    <x v="0"/>
  </r>
  <r>
    <s v="EMP1804"/>
    <s v="Bob"/>
    <s v="Miller"/>
    <s v="Bob Miller"/>
    <x v="2"/>
    <x v="1"/>
    <x v="4"/>
    <x v="1"/>
    <s v="05/05/2023"/>
    <x v="2"/>
    <x v="2"/>
    <n v="112389.31"/>
    <x v="2"/>
    <s v="Bob.Miller@Example.Com"/>
    <n v="4254969191"/>
    <x v="1"/>
    <x v="1"/>
    <x v="1"/>
  </r>
  <r>
    <s v="EMP1805"/>
    <s v="Heidi"/>
    <s v="Brown"/>
    <s v="Heidi Brown"/>
    <x v="1"/>
    <x v="5"/>
    <x v="0"/>
    <x v="2"/>
    <s v="08/01/2024"/>
    <x v="4"/>
    <x v="4"/>
    <n v="63870.3"/>
    <x v="1"/>
    <s v="Heidi.Brown@Example.Com"/>
    <n v="8455259709"/>
    <x v="1"/>
    <x v="1"/>
    <x v="1"/>
  </r>
  <r>
    <s v="EMP1806"/>
    <s v="Bob"/>
    <s v="Garcia"/>
    <s v="Bob Garcia"/>
    <x v="2"/>
    <x v="4"/>
    <x v="4"/>
    <x v="0"/>
    <s v="22/07/2024"/>
    <x v="4"/>
    <x v="4"/>
    <n v="106164.53"/>
    <x v="2"/>
    <s v="Bob.Garcia@Example.Com"/>
    <n v="7563353573"/>
    <x v="2"/>
    <x v="2"/>
    <x v="1"/>
  </r>
  <r>
    <s v="EMP1807"/>
    <s v="Bob"/>
    <s v="Smith"/>
    <s v="Bob Smith"/>
    <x v="2"/>
    <x v="5"/>
    <x v="2"/>
    <x v="1"/>
    <s v="25/12/2023"/>
    <x v="4"/>
    <x v="2"/>
    <n v="103654.54"/>
    <x v="2"/>
    <s v="Bob.Smith@Example.Com"/>
    <n v="8595325938"/>
    <x v="3"/>
    <x v="3"/>
    <x v="1"/>
  </r>
  <r>
    <s v="EMP1808"/>
    <s v="David"/>
    <s v="Miller"/>
    <s v="David Miller"/>
    <x v="1"/>
    <x v="4"/>
    <x v="0"/>
    <x v="2"/>
    <s v="13/03/2022"/>
    <x v="3"/>
    <x v="3"/>
    <n v="62834.720000000001"/>
    <x v="1"/>
    <s v="David.Miller@Example.Com"/>
    <n v="9337970580"/>
    <x v="2"/>
    <x v="2"/>
    <x v="0"/>
  </r>
  <r>
    <s v="EMP1809"/>
    <s v="Frank"/>
    <s v="Jones"/>
    <s v="Frank Jones"/>
    <x v="3"/>
    <x v="1"/>
    <x v="3"/>
    <x v="0"/>
    <s v="13/05/2020"/>
    <x v="1"/>
    <x v="1"/>
    <n v="83273.41"/>
    <x v="1"/>
    <s v="Frank.Jones@Example.Com"/>
    <n v="6295187793"/>
    <x v="1"/>
    <x v="1"/>
    <x v="1"/>
  </r>
  <r>
    <s v="EMP1810"/>
    <s v="Heidi"/>
    <s v="Williams"/>
    <s v="Heidi Williams"/>
    <x v="1"/>
    <x v="5"/>
    <x v="0"/>
    <x v="1"/>
    <s v="22/03/2023"/>
    <x v="2"/>
    <x v="2"/>
    <n v="58917.58"/>
    <x v="0"/>
    <s v="Heidi.Williams@Example.Com"/>
    <n v="1763425072"/>
    <x v="2"/>
    <x v="2"/>
    <x v="1"/>
  </r>
  <r>
    <s v="EMP1811"/>
    <s v="Bob"/>
    <s v="Williams"/>
    <s v="Bob Williams"/>
    <x v="3"/>
    <x v="4"/>
    <x v="2"/>
    <x v="0"/>
    <s v="06/10/2024"/>
    <x v="4"/>
    <x v="4"/>
    <n v="71148.27"/>
    <x v="1"/>
    <s v="Bob.Williams@Example.Com"/>
    <n v="3055978244"/>
    <x v="1"/>
    <x v="1"/>
    <x v="0"/>
  </r>
  <r>
    <s v="EMP1812"/>
    <s v="Grace"/>
    <s v="Smith"/>
    <s v="Grace Smith"/>
    <x v="1"/>
    <x v="4"/>
    <x v="4"/>
    <x v="1"/>
    <s v="21/11/2020"/>
    <x v="1"/>
    <x v="1"/>
    <n v="118172.42"/>
    <x v="2"/>
    <s v="Grace.Smith@Example.Com"/>
    <n v="7598339913"/>
    <x v="3"/>
    <x v="3"/>
    <x v="0"/>
  </r>
  <r>
    <s v="EMP1813"/>
    <s v="Frank"/>
    <s v="Brown"/>
    <s v="Frank Brown"/>
    <x v="1"/>
    <x v="0"/>
    <x v="5"/>
    <x v="2"/>
    <s v="25/05/2024"/>
    <x v="4"/>
    <x v="4"/>
    <n v="118614.37"/>
    <x v="2"/>
    <s v="Frank.Brown@Example.Com"/>
    <n v="388436603"/>
    <x v="0"/>
    <x v="0"/>
    <x v="1"/>
  </r>
  <r>
    <s v="EMP1814"/>
    <s v="Frank"/>
    <s v="Brown"/>
    <s v="Frank Brown"/>
    <x v="1"/>
    <x v="0"/>
    <x v="4"/>
    <x v="0"/>
    <s v="19/09/2023"/>
    <x v="2"/>
    <x v="2"/>
    <n v="96872.36"/>
    <x v="2"/>
    <s v="Frank.Brown@Example.Com"/>
    <n v="4324006156"/>
    <x v="3"/>
    <x v="3"/>
    <x v="1"/>
  </r>
  <r>
    <s v="EMP1815"/>
    <s v="Heidi"/>
    <s v="Jones"/>
    <s v="Heidi Jones"/>
    <x v="0"/>
    <x v="4"/>
    <x v="5"/>
    <x v="2"/>
    <s v="28/10/2021"/>
    <x v="0"/>
    <x v="0"/>
    <n v="88856.14"/>
    <x v="2"/>
    <s v="Heidi.Jones@Example.Com"/>
    <n v="2768297513"/>
    <x v="2"/>
    <x v="2"/>
    <x v="0"/>
  </r>
  <r>
    <s v="EMP1816"/>
    <s v="Charlie"/>
    <s v="Smith"/>
    <s v="Charlie Smith"/>
    <x v="3"/>
    <x v="1"/>
    <x v="1"/>
    <x v="1"/>
    <s v="08/10/2020"/>
    <x v="1"/>
    <x v="1"/>
    <n v="97985.61"/>
    <x v="2"/>
    <s v="Charlie.Smith@Example.Com"/>
    <n v="7439742924"/>
    <x v="2"/>
    <x v="2"/>
    <x v="1"/>
  </r>
  <r>
    <s v="EMP1817"/>
    <s v="Grace"/>
    <s v="Williams"/>
    <s v="Grace Williams"/>
    <x v="3"/>
    <x v="1"/>
    <x v="2"/>
    <x v="1"/>
    <s v="05/05/2020"/>
    <x v="1"/>
    <x v="1"/>
    <n v="56337.31"/>
    <x v="0"/>
    <s v="Grace.Williams@Example.Com"/>
    <n v="105875255"/>
    <x v="3"/>
    <x v="3"/>
    <x v="0"/>
  </r>
  <r>
    <s v="EMP1818"/>
    <s v="Alice"/>
    <s v="Brown"/>
    <s v="Alice Brown"/>
    <x v="1"/>
    <x v="0"/>
    <x v="4"/>
    <x v="2"/>
    <s v="24/12/2022"/>
    <x v="2"/>
    <x v="3"/>
    <n v="70405.23"/>
    <x v="1"/>
    <s v="Alice.Brown@Example.Com"/>
    <n v="8065625903"/>
    <x v="3"/>
    <x v="3"/>
    <x v="0"/>
  </r>
  <r>
    <s v="EMP1819"/>
    <s v="Heidi"/>
    <s v="Smith"/>
    <s v="Heidi Smith"/>
    <x v="1"/>
    <x v="2"/>
    <x v="2"/>
    <x v="2"/>
    <s v="09/05/2021"/>
    <x v="0"/>
    <x v="0"/>
    <n v="89919.35"/>
    <x v="2"/>
    <s v="Heidi.Smith@Example.Com"/>
    <n v="5990802710"/>
    <x v="1"/>
    <x v="1"/>
    <x v="0"/>
  </r>
  <r>
    <s v="EMP1820"/>
    <s v="Eva"/>
    <s v="Davis"/>
    <s v="Eva Davis"/>
    <x v="2"/>
    <x v="0"/>
    <x v="0"/>
    <x v="0"/>
    <s v="04/08/2023"/>
    <x v="2"/>
    <x v="2"/>
    <n v="50568.35"/>
    <x v="0"/>
    <s v="Eva.Davis@Example.Com"/>
    <n v="2218231554"/>
    <x v="2"/>
    <x v="2"/>
    <x v="0"/>
  </r>
  <r>
    <s v="EMP1821"/>
    <s v="Grace"/>
    <s v="Brown"/>
    <s v="Grace Brown"/>
    <x v="1"/>
    <x v="5"/>
    <x v="1"/>
    <x v="2"/>
    <s v="29/01/2023"/>
    <x v="2"/>
    <x v="2"/>
    <n v="0"/>
    <x v="0"/>
    <s v="Grace.Brown@Example.Com"/>
    <n v="1651768085"/>
    <x v="2"/>
    <x v="2"/>
    <x v="1"/>
  </r>
  <r>
    <s v="EMP1822"/>
    <s v="Frank"/>
    <s v="Miller"/>
    <s v="Frank Miller"/>
    <x v="0"/>
    <x v="5"/>
    <x v="1"/>
    <x v="0"/>
    <s v="06/03/2022"/>
    <x v="3"/>
    <x v="3"/>
    <n v="99155.53"/>
    <x v="2"/>
    <s v="Frank.Miller@Example.Com"/>
    <n v="6281372142"/>
    <x v="3"/>
    <x v="3"/>
    <x v="0"/>
  </r>
  <r>
    <s v="EMP1823"/>
    <s v="Frank"/>
    <s v="Davis"/>
    <s v="Frank Davis"/>
    <x v="2"/>
    <x v="1"/>
    <x v="3"/>
    <x v="2"/>
    <s v="21/01/2023"/>
    <x v="2"/>
    <x v="2"/>
    <n v="64785.13"/>
    <x v="1"/>
    <s v="Frank.Davis@Example.Com"/>
    <n v="3080037002"/>
    <x v="0"/>
    <x v="0"/>
    <x v="0"/>
  </r>
  <r>
    <s v="EMP1824"/>
    <s v="Charlie"/>
    <s v="Garcia"/>
    <s v="Charlie Garcia"/>
    <x v="1"/>
    <x v="4"/>
    <x v="3"/>
    <x v="2"/>
    <s v="16/09/2024"/>
    <x v="4"/>
    <x v="4"/>
    <n v="79206.48"/>
    <x v="1"/>
    <s v="Charlie.Garcia@Example.Com"/>
    <n v="3228556607"/>
    <x v="2"/>
    <x v="2"/>
    <x v="1"/>
  </r>
  <r>
    <s v="EMP1825"/>
    <s v="Charlie"/>
    <s v="Brown"/>
    <s v="Charlie Brown"/>
    <x v="1"/>
    <x v="3"/>
    <x v="1"/>
    <x v="1"/>
    <s v="02/02/2020"/>
    <x v="1"/>
    <x v="1"/>
    <n v="60079.71"/>
    <x v="1"/>
    <s v="Charlie.Brown@Example.Com"/>
    <n v="4706810389"/>
    <x v="0"/>
    <x v="0"/>
    <x v="0"/>
  </r>
  <r>
    <s v="EMP1826"/>
    <s v="Grace"/>
    <s v="Williams"/>
    <s v="Grace Williams"/>
    <x v="1"/>
    <x v="3"/>
    <x v="4"/>
    <x v="1"/>
    <s v="07/08/2024"/>
    <x v="4"/>
    <x v="4"/>
    <n v="79109.88"/>
    <x v="1"/>
    <s v="Grace.Williams@Example.Com"/>
    <n v="3397051957"/>
    <x v="3"/>
    <x v="3"/>
    <x v="1"/>
  </r>
  <r>
    <s v="EMP1827"/>
    <s v="Grace"/>
    <s v="Johnson"/>
    <s v="Grace Johnson"/>
    <x v="1"/>
    <x v="2"/>
    <x v="3"/>
    <x v="1"/>
    <s v="18/05/2022"/>
    <x v="3"/>
    <x v="3"/>
    <n v="88643.5"/>
    <x v="2"/>
    <s v="Grace.Johnson@Example.Com"/>
    <n v="2632809447"/>
    <x v="3"/>
    <x v="3"/>
    <x v="1"/>
  </r>
  <r>
    <s v="EMP1828"/>
    <s v="Frank"/>
    <s v="Davis"/>
    <s v="Frank Davis"/>
    <x v="1"/>
    <x v="2"/>
    <x v="3"/>
    <x v="1"/>
    <s v="16/01/2020"/>
    <x v="1"/>
    <x v="1"/>
    <n v="90455.7"/>
    <x v="2"/>
    <s v="Frank.Davis@Example.Com"/>
    <n v="5862394534"/>
    <x v="1"/>
    <x v="1"/>
    <x v="1"/>
  </r>
  <r>
    <s v="EMP1829"/>
    <s v="David"/>
    <s v="Garcia"/>
    <s v="David Garcia"/>
    <x v="1"/>
    <x v="5"/>
    <x v="3"/>
    <x v="1"/>
    <s v="26/03/2023"/>
    <x v="2"/>
    <x v="2"/>
    <n v="75687.899999999994"/>
    <x v="1"/>
    <s v="David.Garcia@Example.Com"/>
    <n v="4614707985"/>
    <x v="2"/>
    <x v="2"/>
    <x v="0"/>
  </r>
  <r>
    <s v="EMP1830"/>
    <s v="Heidi"/>
    <s v="Jones"/>
    <s v="Heidi Jones"/>
    <x v="3"/>
    <x v="3"/>
    <x v="5"/>
    <x v="2"/>
    <s v="15/11/2023"/>
    <x v="2"/>
    <x v="2"/>
    <n v="55604.42"/>
    <x v="0"/>
    <s v="Heidi.Jones@Example.Com"/>
    <n v="3210613393"/>
    <x v="0"/>
    <x v="0"/>
    <x v="1"/>
  </r>
  <r>
    <s v="EMP1831"/>
    <s v="Eva"/>
    <s v="Jones"/>
    <s v="Eva Jones"/>
    <x v="2"/>
    <x v="4"/>
    <x v="1"/>
    <x v="1"/>
    <s v="27/12/2024"/>
    <x v="5"/>
    <x v="4"/>
    <n v="92704.94"/>
    <x v="2"/>
    <s v="Eva.Jones@Example.Com"/>
    <n v="3945703942"/>
    <x v="1"/>
    <x v="1"/>
    <x v="1"/>
  </r>
  <r>
    <s v="EMP1832"/>
    <s v="Bob"/>
    <s v="Williams"/>
    <s v="Bob Williams"/>
    <x v="1"/>
    <x v="4"/>
    <x v="0"/>
    <x v="1"/>
    <s v="18/04/2020"/>
    <x v="1"/>
    <x v="1"/>
    <n v="113250.97"/>
    <x v="2"/>
    <s v="Bob.Williams@Example.Com"/>
    <n v="8040325375"/>
    <x v="2"/>
    <x v="2"/>
    <x v="0"/>
  </r>
  <r>
    <s v="EMP1833"/>
    <s v="Alice"/>
    <s v="Brown"/>
    <s v="Alice Brown"/>
    <x v="2"/>
    <x v="1"/>
    <x v="5"/>
    <x v="2"/>
    <s v="21/03/2023"/>
    <x v="2"/>
    <x v="2"/>
    <n v="101367.02"/>
    <x v="2"/>
    <s v="Alice.Brown@Example.Com"/>
    <n v="5769277893"/>
    <x v="1"/>
    <x v="1"/>
    <x v="1"/>
  </r>
  <r>
    <s v="EMP1834"/>
    <s v="Eva"/>
    <s v="Smith"/>
    <s v="Eva Smith"/>
    <x v="3"/>
    <x v="2"/>
    <x v="1"/>
    <x v="1"/>
    <s v="05/08/2023"/>
    <x v="2"/>
    <x v="2"/>
    <n v="102459.77"/>
    <x v="2"/>
    <s v="Eva.Smith@Example.Com"/>
    <n v="3191009003"/>
    <x v="3"/>
    <x v="3"/>
    <x v="1"/>
  </r>
  <r>
    <s v="EMP1835"/>
    <s v="Eva"/>
    <s v="Brown"/>
    <s v="Eva Brown"/>
    <x v="0"/>
    <x v="0"/>
    <x v="3"/>
    <x v="1"/>
    <s v="12/12/2020"/>
    <x v="0"/>
    <x v="1"/>
    <n v="90100.2"/>
    <x v="2"/>
    <s v="Eva.Brown@Example.Com"/>
    <n v="476921052"/>
    <x v="2"/>
    <x v="2"/>
    <x v="1"/>
  </r>
  <r>
    <s v="EMP1836"/>
    <s v="Eva"/>
    <s v="Williams"/>
    <s v="Eva Williams"/>
    <x v="1"/>
    <x v="3"/>
    <x v="0"/>
    <x v="2"/>
    <s v="17/06/2020"/>
    <x v="1"/>
    <x v="1"/>
    <n v="58877.49"/>
    <x v="0"/>
    <s v="Eva.Williams@Example.Com"/>
    <n v="3651460400"/>
    <x v="1"/>
    <x v="1"/>
    <x v="1"/>
  </r>
  <r>
    <s v="EMP1837"/>
    <s v="Eva"/>
    <s v="Jones"/>
    <s v="Eva Jones"/>
    <x v="3"/>
    <x v="2"/>
    <x v="5"/>
    <x v="2"/>
    <s v="17/07/2021"/>
    <x v="0"/>
    <x v="0"/>
    <n v="0"/>
    <x v="0"/>
    <s v="Eva.Jones@Example.Com"/>
    <n v="4247310719"/>
    <x v="1"/>
    <x v="1"/>
    <x v="1"/>
  </r>
  <r>
    <s v="EMP1838"/>
    <s v="Bob"/>
    <s v="Brown"/>
    <s v="Bob Brown"/>
    <x v="1"/>
    <x v="2"/>
    <x v="5"/>
    <x v="1"/>
    <s v="11/05/2020"/>
    <x v="1"/>
    <x v="1"/>
    <n v="96140.89"/>
    <x v="2"/>
    <s v="Bob.Brown@Example.Com"/>
    <n v="1137984408"/>
    <x v="0"/>
    <x v="0"/>
    <x v="0"/>
  </r>
  <r>
    <s v="EMP1839"/>
    <s v="Charlie"/>
    <s v="Jones"/>
    <s v="Charlie Jones"/>
    <x v="3"/>
    <x v="0"/>
    <x v="4"/>
    <x v="2"/>
    <s v="01/05/2021"/>
    <x v="0"/>
    <x v="0"/>
    <n v="105956.04"/>
    <x v="2"/>
    <s v="Charlie.Jones@Example.Com"/>
    <n v="7123166006"/>
    <x v="1"/>
    <x v="1"/>
    <x v="1"/>
  </r>
  <r>
    <s v="EMP1840"/>
    <s v="Frank"/>
    <s v="Davis"/>
    <s v="Frank Davis"/>
    <x v="0"/>
    <x v="2"/>
    <x v="5"/>
    <x v="0"/>
    <s v="09/11/2024"/>
    <x v="4"/>
    <x v="4"/>
    <n v="84716.38"/>
    <x v="1"/>
    <s v="Frank.Davis@Example.Com"/>
    <n v="6762090143"/>
    <x v="2"/>
    <x v="2"/>
    <x v="1"/>
  </r>
  <r>
    <s v="EMP1841"/>
    <s v="Grace"/>
    <s v="Garcia"/>
    <s v="Grace Garcia"/>
    <x v="1"/>
    <x v="0"/>
    <x v="3"/>
    <x v="1"/>
    <s v="29/07/2023"/>
    <x v="2"/>
    <x v="2"/>
    <n v="61709.83"/>
    <x v="1"/>
    <s v="Grace.Garcia@Example.Com"/>
    <n v="7340433699"/>
    <x v="2"/>
    <x v="2"/>
    <x v="0"/>
  </r>
  <r>
    <s v="EMP1842"/>
    <s v="Frank"/>
    <s v="Smith"/>
    <s v="Frank Smith"/>
    <x v="0"/>
    <x v="0"/>
    <x v="0"/>
    <x v="0"/>
    <s v="17/04/2020"/>
    <x v="1"/>
    <x v="1"/>
    <n v="61732.03"/>
    <x v="1"/>
    <s v="Frank.Smith@Example.Com"/>
    <n v="9687304518"/>
    <x v="0"/>
    <x v="0"/>
    <x v="0"/>
  </r>
  <r>
    <s v="EMP1843"/>
    <s v="Eva"/>
    <s v="Davis"/>
    <s v="Eva Davis"/>
    <x v="2"/>
    <x v="0"/>
    <x v="5"/>
    <x v="0"/>
    <s v="16/02/2022"/>
    <x v="3"/>
    <x v="3"/>
    <n v="97845.7"/>
    <x v="2"/>
    <s v="Eva.Davis@Example.Com"/>
    <n v="5778255881"/>
    <x v="2"/>
    <x v="2"/>
    <x v="0"/>
  </r>
  <r>
    <s v="EMP1844"/>
    <s v="Eva"/>
    <s v="Jones"/>
    <s v="Eva Jones"/>
    <x v="1"/>
    <x v="4"/>
    <x v="3"/>
    <x v="0"/>
    <s v="14/08/2021"/>
    <x v="0"/>
    <x v="0"/>
    <n v="114905.58"/>
    <x v="2"/>
    <s v="Eva.Jones@Example.Com"/>
    <n v="5562965753"/>
    <x v="3"/>
    <x v="3"/>
    <x v="1"/>
  </r>
  <r>
    <s v="EMP1845"/>
    <s v="Frank"/>
    <s v="Jones"/>
    <s v="Frank Jones"/>
    <x v="1"/>
    <x v="0"/>
    <x v="1"/>
    <x v="0"/>
    <s v="24/12/2022"/>
    <x v="2"/>
    <x v="3"/>
    <n v="94619.69"/>
    <x v="2"/>
    <s v="Frank.Jones@Example.Com"/>
    <n v="2786561941"/>
    <x v="2"/>
    <x v="2"/>
    <x v="0"/>
  </r>
  <r>
    <s v="EMP1846"/>
    <s v="Grace"/>
    <s v="Johnson"/>
    <s v="Grace Johnson"/>
    <x v="1"/>
    <x v="0"/>
    <x v="0"/>
    <x v="2"/>
    <s v="07/07/2021"/>
    <x v="0"/>
    <x v="0"/>
    <n v="68696.149999999994"/>
    <x v="1"/>
    <s v="Grace.Johnson@Example.Com"/>
    <n v="5577820581"/>
    <x v="2"/>
    <x v="2"/>
    <x v="1"/>
  </r>
  <r>
    <s v="EMP1847"/>
    <s v="Grace"/>
    <s v="Johnson"/>
    <s v="Grace Johnson"/>
    <x v="2"/>
    <x v="0"/>
    <x v="2"/>
    <x v="0"/>
    <s v="02/12/2024"/>
    <x v="5"/>
    <x v="4"/>
    <n v="97032.29"/>
    <x v="2"/>
    <s v="Grace.Johnson@Example.Com"/>
    <n v="9582923615"/>
    <x v="1"/>
    <x v="1"/>
    <x v="1"/>
  </r>
  <r>
    <s v="EMP1848"/>
    <s v="Frank"/>
    <s v="Davis"/>
    <s v="Frank Davis"/>
    <x v="1"/>
    <x v="5"/>
    <x v="5"/>
    <x v="0"/>
    <s v="10/09/2023"/>
    <x v="2"/>
    <x v="2"/>
    <n v="50593.33"/>
    <x v="0"/>
    <s v="Frank.Davis@Example.Com"/>
    <n v="1880819047"/>
    <x v="1"/>
    <x v="1"/>
    <x v="0"/>
  </r>
  <r>
    <s v="EMP1849"/>
    <s v="Grace"/>
    <s v="Miller"/>
    <s v="Grace Miller"/>
    <x v="0"/>
    <x v="4"/>
    <x v="1"/>
    <x v="1"/>
    <s v="07/02/2022"/>
    <x v="3"/>
    <x v="3"/>
    <n v="74606.149999999994"/>
    <x v="1"/>
    <s v="Grace.Miller@Example.Com"/>
    <n v="2357155867"/>
    <x v="2"/>
    <x v="2"/>
    <x v="0"/>
  </r>
  <r>
    <s v="EMP1850"/>
    <s v="Eva"/>
    <s v="Davis"/>
    <s v="Eva Davis"/>
    <x v="1"/>
    <x v="3"/>
    <x v="1"/>
    <x v="1"/>
    <s v="07/07/2020"/>
    <x v="1"/>
    <x v="1"/>
    <n v="53981.73"/>
    <x v="0"/>
    <s v="Eva.Davis@Example.Com"/>
    <n v="6395613722"/>
    <x v="0"/>
    <x v="0"/>
    <x v="1"/>
  </r>
  <r>
    <s v="EMP1851"/>
    <s v="David"/>
    <s v="Johnson"/>
    <s v="David Johnson"/>
    <x v="1"/>
    <x v="0"/>
    <x v="1"/>
    <x v="1"/>
    <s v="09/02/2020"/>
    <x v="1"/>
    <x v="1"/>
    <n v="56047.05"/>
    <x v="0"/>
    <s v="David.Johnson@Example.Com"/>
    <n v="817214363"/>
    <x v="1"/>
    <x v="1"/>
    <x v="0"/>
  </r>
  <r>
    <s v="EMP1852"/>
    <s v="Grace"/>
    <s v="Jones"/>
    <s v="Grace Jones"/>
    <x v="1"/>
    <x v="2"/>
    <x v="1"/>
    <x v="1"/>
    <s v="01/12/2021"/>
    <x v="3"/>
    <x v="0"/>
    <n v="67733.5"/>
    <x v="1"/>
    <s v="Grace.Jones@Example.Com"/>
    <n v="3813000412"/>
    <x v="0"/>
    <x v="0"/>
    <x v="1"/>
  </r>
  <r>
    <s v="EMP1853"/>
    <s v="Bob"/>
    <s v="Williams"/>
    <s v="Bob Williams"/>
    <x v="2"/>
    <x v="5"/>
    <x v="3"/>
    <x v="1"/>
    <s v="29/09/2023"/>
    <x v="2"/>
    <x v="2"/>
    <n v="103891.64"/>
    <x v="2"/>
    <s v="Bob.Williams@Example.Com"/>
    <n v="2114716559"/>
    <x v="2"/>
    <x v="2"/>
    <x v="0"/>
  </r>
  <r>
    <s v="EMP1854"/>
    <s v="Charlie"/>
    <s v="Davis"/>
    <s v="Charlie Davis"/>
    <x v="0"/>
    <x v="5"/>
    <x v="1"/>
    <x v="2"/>
    <s v="03/06/2022"/>
    <x v="3"/>
    <x v="3"/>
    <n v="73285.83"/>
    <x v="1"/>
    <s v="Charlie.Davis@Example.Com"/>
    <n v="9456534698"/>
    <x v="2"/>
    <x v="2"/>
    <x v="0"/>
  </r>
  <r>
    <s v="EMP1855"/>
    <s v="Eva"/>
    <s v="Jones"/>
    <s v="Eva Jones"/>
    <x v="1"/>
    <x v="1"/>
    <x v="1"/>
    <x v="2"/>
    <s v="14/02/2021"/>
    <x v="0"/>
    <x v="0"/>
    <n v="92721.13"/>
    <x v="2"/>
    <s v="Eva.Jones@Example.Com"/>
    <n v="7990707549"/>
    <x v="3"/>
    <x v="3"/>
    <x v="0"/>
  </r>
  <r>
    <s v="EMP1856"/>
    <s v="Heidi"/>
    <s v="Williams"/>
    <s v="Heidi Williams"/>
    <x v="0"/>
    <x v="2"/>
    <x v="5"/>
    <x v="2"/>
    <s v="23/03/2021"/>
    <x v="0"/>
    <x v="0"/>
    <n v="92977.64"/>
    <x v="2"/>
    <s v="Heidi.Williams@Example.Com"/>
    <n v="4768169956"/>
    <x v="1"/>
    <x v="1"/>
    <x v="1"/>
  </r>
  <r>
    <s v="EMP1857"/>
    <s v="Heidi"/>
    <s v="Williams"/>
    <s v="Heidi Williams"/>
    <x v="3"/>
    <x v="3"/>
    <x v="1"/>
    <x v="0"/>
    <s v="24/05/2020"/>
    <x v="1"/>
    <x v="1"/>
    <n v="89994.12"/>
    <x v="2"/>
    <s v="Heidi.Williams@Example.Com"/>
    <n v="607174810"/>
    <x v="2"/>
    <x v="2"/>
    <x v="0"/>
  </r>
  <r>
    <s v="EMP1858"/>
    <s v="Heidi"/>
    <s v="Johnson"/>
    <s v="Heidi Johnson"/>
    <x v="0"/>
    <x v="1"/>
    <x v="4"/>
    <x v="1"/>
    <s v="08/04/2023"/>
    <x v="2"/>
    <x v="2"/>
    <n v="50060.73"/>
    <x v="0"/>
    <s v="Heidi.Johnson@Example.Com"/>
    <n v="3176539704"/>
    <x v="3"/>
    <x v="3"/>
    <x v="1"/>
  </r>
  <r>
    <s v="EMP1859"/>
    <s v="Grace"/>
    <s v="Davis"/>
    <s v="Grace Davis"/>
    <x v="3"/>
    <x v="2"/>
    <x v="2"/>
    <x v="2"/>
    <s v="03/12/2022"/>
    <x v="2"/>
    <x v="3"/>
    <n v="90224.82"/>
    <x v="2"/>
    <s v="Grace.Davis@Example.Com"/>
    <n v="4873961028"/>
    <x v="1"/>
    <x v="1"/>
    <x v="1"/>
  </r>
  <r>
    <s v="EMP1860"/>
    <s v="Heidi"/>
    <s v="Brown"/>
    <s v="Heidi Brown"/>
    <x v="2"/>
    <x v="1"/>
    <x v="3"/>
    <x v="1"/>
    <s v="18/05/2024"/>
    <x v="4"/>
    <x v="4"/>
    <n v="106859.3"/>
    <x v="2"/>
    <s v="Heidi.Brown@Example.Com"/>
    <n v="871827495"/>
    <x v="2"/>
    <x v="2"/>
    <x v="1"/>
  </r>
  <r>
    <s v="EMP1861"/>
    <s v="David"/>
    <s v="Smith"/>
    <s v="David Smith"/>
    <x v="0"/>
    <x v="1"/>
    <x v="2"/>
    <x v="2"/>
    <s v="09/05/2020"/>
    <x v="1"/>
    <x v="1"/>
    <n v="89707.07"/>
    <x v="2"/>
    <s v="David.Smith@Example.Com"/>
    <n v="8049187273"/>
    <x v="2"/>
    <x v="2"/>
    <x v="1"/>
  </r>
  <r>
    <s v="EMP1862"/>
    <s v="Frank"/>
    <s v="Johnson"/>
    <s v="Frank Johnson"/>
    <x v="3"/>
    <x v="0"/>
    <x v="0"/>
    <x v="2"/>
    <s v="23/04/2020"/>
    <x v="1"/>
    <x v="1"/>
    <n v="94259.08"/>
    <x v="2"/>
    <s v="Frank.Johnson@Example.Com"/>
    <n v="2049561212"/>
    <x v="1"/>
    <x v="1"/>
    <x v="0"/>
  </r>
  <r>
    <s v="EMP1863"/>
    <s v="Bob"/>
    <s v="Johnson"/>
    <s v="Bob Johnson"/>
    <x v="3"/>
    <x v="4"/>
    <x v="0"/>
    <x v="0"/>
    <s v="18/09/2024"/>
    <x v="4"/>
    <x v="4"/>
    <n v="82174.75"/>
    <x v="1"/>
    <s v="Bob.Johnson@Example.Com"/>
    <n v="7730626041"/>
    <x v="1"/>
    <x v="1"/>
    <x v="1"/>
  </r>
  <r>
    <s v="EMP1864"/>
    <s v="David"/>
    <s v="Brown"/>
    <s v="David Brown"/>
    <x v="1"/>
    <x v="4"/>
    <x v="1"/>
    <x v="2"/>
    <s v="15/09/2023"/>
    <x v="2"/>
    <x v="2"/>
    <n v="63370.22"/>
    <x v="1"/>
    <s v="David.Brown@Example.Com"/>
    <n v="3597371121"/>
    <x v="1"/>
    <x v="1"/>
    <x v="1"/>
  </r>
  <r>
    <s v="EMP1865"/>
    <s v="Bob"/>
    <s v="Smith"/>
    <s v="Bob Smith"/>
    <x v="3"/>
    <x v="1"/>
    <x v="1"/>
    <x v="1"/>
    <s v="15/06/2022"/>
    <x v="3"/>
    <x v="3"/>
    <n v="101472.69"/>
    <x v="2"/>
    <s v="Bob.Smith@Example.Com"/>
    <n v="2990775607"/>
    <x v="2"/>
    <x v="2"/>
    <x v="0"/>
  </r>
  <r>
    <s v="EMP1866"/>
    <s v="David"/>
    <s v="Jones"/>
    <s v="David Jones"/>
    <x v="0"/>
    <x v="0"/>
    <x v="5"/>
    <x v="0"/>
    <s v="28/09/2022"/>
    <x v="3"/>
    <x v="3"/>
    <n v="77213.73"/>
    <x v="1"/>
    <s v="David.Jones@Example.Com"/>
    <n v="5816704685"/>
    <x v="2"/>
    <x v="2"/>
    <x v="1"/>
  </r>
  <r>
    <s v="EMP1867"/>
    <s v="Eva"/>
    <s v="Miller"/>
    <s v="Eva Miller"/>
    <x v="2"/>
    <x v="4"/>
    <x v="3"/>
    <x v="0"/>
    <s v="16/03/2020"/>
    <x v="1"/>
    <x v="1"/>
    <n v="73749.960000000006"/>
    <x v="1"/>
    <s v="Eva.Miller@Example.Com"/>
    <n v="1114576831"/>
    <x v="3"/>
    <x v="3"/>
    <x v="0"/>
  </r>
  <r>
    <s v="EMP1868"/>
    <s v="Alice"/>
    <s v="Davis"/>
    <s v="Alice Davis"/>
    <x v="2"/>
    <x v="3"/>
    <x v="4"/>
    <x v="1"/>
    <s v="28/09/2023"/>
    <x v="2"/>
    <x v="2"/>
    <n v="86618.37"/>
    <x v="2"/>
    <s v="Alice.Davis@Example.Com"/>
    <n v="1021923784"/>
    <x v="0"/>
    <x v="0"/>
    <x v="1"/>
  </r>
  <r>
    <s v="EMP1869"/>
    <s v="Charlie"/>
    <s v="Miller"/>
    <s v="Charlie Miller"/>
    <x v="1"/>
    <x v="2"/>
    <x v="1"/>
    <x v="0"/>
    <s v="15/02/2024"/>
    <x v="4"/>
    <x v="4"/>
    <n v="59911.33"/>
    <x v="0"/>
    <s v="Charlie.Miller@Example.Com"/>
    <n v="8471296179"/>
    <x v="1"/>
    <x v="1"/>
    <x v="0"/>
  </r>
  <r>
    <s v="EMP1870"/>
    <s v="Heidi"/>
    <s v="Jones"/>
    <s v="Heidi Jones"/>
    <x v="1"/>
    <x v="3"/>
    <x v="4"/>
    <x v="1"/>
    <s v="21/08/2023"/>
    <x v="2"/>
    <x v="2"/>
    <n v="59137.64"/>
    <x v="0"/>
    <s v="Heidi.Jones@Example.Com"/>
    <n v="3324260507"/>
    <x v="2"/>
    <x v="2"/>
    <x v="1"/>
  </r>
  <r>
    <s v="EMP1871"/>
    <s v="Alice"/>
    <s v="Garcia"/>
    <s v="Alice Garcia"/>
    <x v="3"/>
    <x v="3"/>
    <x v="3"/>
    <x v="1"/>
    <s v="15/12/2020"/>
    <x v="0"/>
    <x v="1"/>
    <n v="108474.65"/>
    <x v="2"/>
    <s v="Alice.Garcia@Example.Com"/>
    <n v="184980424"/>
    <x v="2"/>
    <x v="2"/>
    <x v="0"/>
  </r>
  <r>
    <s v="EMP1872"/>
    <s v="Bob"/>
    <s v="Johnson"/>
    <s v="Bob Johnson"/>
    <x v="0"/>
    <x v="1"/>
    <x v="5"/>
    <x v="1"/>
    <s v="27/03/2021"/>
    <x v="0"/>
    <x v="0"/>
    <n v="54417.71"/>
    <x v="0"/>
    <s v="Bob.Johnson@Example.Com"/>
    <n v="3733777311"/>
    <x v="1"/>
    <x v="1"/>
    <x v="1"/>
  </r>
  <r>
    <s v="EMP1873"/>
    <s v="Frank"/>
    <s v="Smith"/>
    <s v="Frank Smith"/>
    <x v="2"/>
    <x v="5"/>
    <x v="1"/>
    <x v="1"/>
    <s v="25/03/2023"/>
    <x v="2"/>
    <x v="2"/>
    <n v="88211.94"/>
    <x v="2"/>
    <s v="Frank.Smith@Example.Com"/>
    <n v="6881228216"/>
    <x v="0"/>
    <x v="0"/>
    <x v="1"/>
  </r>
  <r>
    <s v="EMP1874"/>
    <s v="David"/>
    <s v="Johnson"/>
    <s v="David Johnson"/>
    <x v="0"/>
    <x v="4"/>
    <x v="4"/>
    <x v="2"/>
    <s v="05/09/2020"/>
    <x v="1"/>
    <x v="1"/>
    <n v="58452.18"/>
    <x v="0"/>
    <s v="David.Johnson@Example.Com"/>
    <n v="8192365345"/>
    <x v="1"/>
    <x v="1"/>
    <x v="0"/>
  </r>
  <r>
    <s v="EMP1875"/>
    <s v="Grace"/>
    <s v="Williams"/>
    <s v="Grace Williams"/>
    <x v="1"/>
    <x v="0"/>
    <x v="0"/>
    <x v="1"/>
    <s v="12/03/2020"/>
    <x v="1"/>
    <x v="1"/>
    <n v="80706.28"/>
    <x v="1"/>
    <s v="Grace.Williams@Example.Com"/>
    <n v="605603566"/>
    <x v="0"/>
    <x v="0"/>
    <x v="0"/>
  </r>
  <r>
    <s v="EMP1876"/>
    <s v="Alice"/>
    <s v="Johnson"/>
    <s v="Alice Johnson"/>
    <x v="1"/>
    <x v="3"/>
    <x v="2"/>
    <x v="1"/>
    <s v="02/09/2022"/>
    <x v="3"/>
    <x v="3"/>
    <n v="0"/>
    <x v="0"/>
    <s v="Alice.Johnson@Example.Com"/>
    <n v="9327986238"/>
    <x v="2"/>
    <x v="2"/>
    <x v="0"/>
  </r>
  <r>
    <s v="EMP1877"/>
    <s v="Heidi"/>
    <s v="Johnson"/>
    <s v="Heidi Johnson"/>
    <x v="0"/>
    <x v="3"/>
    <x v="1"/>
    <x v="0"/>
    <s v="07/01/2020"/>
    <x v="1"/>
    <x v="1"/>
    <n v="99471.89"/>
    <x v="2"/>
    <s v="Heidi.Johnson@Example.Com"/>
    <n v="8471690617"/>
    <x v="0"/>
    <x v="0"/>
    <x v="0"/>
  </r>
  <r>
    <s v="EMP1878"/>
    <s v="Eva"/>
    <s v="Jones"/>
    <s v="Eva Jones"/>
    <x v="2"/>
    <x v="0"/>
    <x v="3"/>
    <x v="1"/>
    <s v="16/09/2020"/>
    <x v="1"/>
    <x v="1"/>
    <n v="64431.22"/>
    <x v="1"/>
    <s v="Eva.Jones@Example.Com"/>
    <n v="1205464753"/>
    <x v="3"/>
    <x v="3"/>
    <x v="1"/>
  </r>
  <r>
    <s v="EMP1879"/>
    <s v="Heidi"/>
    <s v="Jones"/>
    <s v="Heidi Jones"/>
    <x v="2"/>
    <x v="2"/>
    <x v="4"/>
    <x v="1"/>
    <s v="17/11/2023"/>
    <x v="2"/>
    <x v="2"/>
    <n v="52633.48"/>
    <x v="0"/>
    <s v="Heidi.Jones@Example.Com"/>
    <n v="8954787697"/>
    <x v="2"/>
    <x v="2"/>
    <x v="1"/>
  </r>
  <r>
    <s v="EMP1880"/>
    <s v="Heidi"/>
    <s v="Jones"/>
    <s v="Heidi Jones"/>
    <x v="1"/>
    <x v="3"/>
    <x v="2"/>
    <x v="2"/>
    <s v="13/12/2021"/>
    <x v="3"/>
    <x v="0"/>
    <n v="79315.009999999995"/>
    <x v="1"/>
    <s v="Heidi.Jones@Example.Com"/>
    <n v="9992751757"/>
    <x v="3"/>
    <x v="3"/>
    <x v="0"/>
  </r>
  <r>
    <s v="EMP1881"/>
    <s v="David"/>
    <s v="Miller"/>
    <s v="David Miller"/>
    <x v="0"/>
    <x v="4"/>
    <x v="1"/>
    <x v="1"/>
    <s v="01/11/2022"/>
    <x v="3"/>
    <x v="3"/>
    <n v="110391.17"/>
    <x v="2"/>
    <s v="David.Miller@Example.Com"/>
    <n v="8914444982"/>
    <x v="1"/>
    <x v="1"/>
    <x v="1"/>
  </r>
  <r>
    <s v="EMP1882"/>
    <s v="David"/>
    <s v="Williams"/>
    <s v="David Williams"/>
    <x v="2"/>
    <x v="0"/>
    <x v="2"/>
    <x v="0"/>
    <s v="20/07/2021"/>
    <x v="0"/>
    <x v="0"/>
    <n v="53714.83"/>
    <x v="0"/>
    <s v="David.Williams@Example.Com"/>
    <n v="5539354357"/>
    <x v="1"/>
    <x v="1"/>
    <x v="0"/>
  </r>
  <r>
    <s v="EMP1883"/>
    <s v="Charlie"/>
    <s v="Garcia"/>
    <s v="Charlie Garcia"/>
    <x v="2"/>
    <x v="1"/>
    <x v="4"/>
    <x v="0"/>
    <s v="10/04/2023"/>
    <x v="2"/>
    <x v="2"/>
    <n v="114587.11"/>
    <x v="2"/>
    <s v="Charlie.Garcia@Example.Com"/>
    <n v="6449639242"/>
    <x v="1"/>
    <x v="1"/>
    <x v="0"/>
  </r>
  <r>
    <s v="EMP1884"/>
    <s v="Frank"/>
    <s v="Garcia"/>
    <s v="Frank Garcia"/>
    <x v="3"/>
    <x v="2"/>
    <x v="3"/>
    <x v="2"/>
    <s v="15/11/2021"/>
    <x v="0"/>
    <x v="0"/>
    <n v="93177.35"/>
    <x v="2"/>
    <s v="Frank.Garcia@Example.Com"/>
    <n v="5885379820"/>
    <x v="0"/>
    <x v="0"/>
    <x v="1"/>
  </r>
  <r>
    <s v="EMP1885"/>
    <s v="Heidi"/>
    <s v="Jones"/>
    <s v="Heidi Jones"/>
    <x v="0"/>
    <x v="3"/>
    <x v="2"/>
    <x v="0"/>
    <s v="01/05/2023"/>
    <x v="2"/>
    <x v="2"/>
    <n v="62312.13"/>
    <x v="1"/>
    <s v="Heidi.Jones@Example.Com"/>
    <n v="4339527535"/>
    <x v="2"/>
    <x v="2"/>
    <x v="1"/>
  </r>
  <r>
    <s v="EMP1886"/>
    <s v="Heidi"/>
    <s v="Smith"/>
    <s v="Heidi Smith"/>
    <x v="1"/>
    <x v="3"/>
    <x v="1"/>
    <x v="0"/>
    <s v="17/01/2024"/>
    <x v="4"/>
    <x v="4"/>
    <n v="81137.460000000006"/>
    <x v="1"/>
    <s v="Heidi.Smith@Example.Com"/>
    <n v="7497852490"/>
    <x v="1"/>
    <x v="1"/>
    <x v="1"/>
  </r>
  <r>
    <s v="EMP1887"/>
    <s v="Grace"/>
    <s v="Miller"/>
    <s v="Grace Miller"/>
    <x v="1"/>
    <x v="0"/>
    <x v="2"/>
    <x v="2"/>
    <s v="16/04/2021"/>
    <x v="0"/>
    <x v="0"/>
    <n v="104528.27"/>
    <x v="2"/>
    <s v="Grace.Miller@Example.Com"/>
    <n v="4168601346"/>
    <x v="1"/>
    <x v="1"/>
    <x v="1"/>
  </r>
  <r>
    <s v="EMP1888"/>
    <s v="Bob"/>
    <s v="Brown"/>
    <s v="Bob Brown"/>
    <x v="1"/>
    <x v="0"/>
    <x v="3"/>
    <x v="0"/>
    <s v="02/08/2022"/>
    <x v="3"/>
    <x v="3"/>
    <n v="112395.56"/>
    <x v="2"/>
    <s v="Bob.Brown@Example.Com"/>
    <n v="7894896339"/>
    <x v="2"/>
    <x v="2"/>
    <x v="1"/>
  </r>
  <r>
    <s v="EMP1889"/>
    <s v="Heidi"/>
    <s v="Smith"/>
    <s v="Heidi Smith"/>
    <x v="0"/>
    <x v="1"/>
    <x v="4"/>
    <x v="0"/>
    <s v="06/02/2023"/>
    <x v="2"/>
    <x v="2"/>
    <n v="81849.36"/>
    <x v="1"/>
    <s v="Heidi.Smith@Example.Com"/>
    <n v="6791766511"/>
    <x v="1"/>
    <x v="1"/>
    <x v="1"/>
  </r>
  <r>
    <s v="EMP1890"/>
    <s v="Charlie"/>
    <s v="Davis"/>
    <s v="Charlie Davis"/>
    <x v="2"/>
    <x v="0"/>
    <x v="4"/>
    <x v="1"/>
    <s v="01/04/2022"/>
    <x v="3"/>
    <x v="3"/>
    <n v="118288.91"/>
    <x v="2"/>
    <s v="Charlie.Davis@Example.Com"/>
    <n v="2150014187"/>
    <x v="3"/>
    <x v="3"/>
    <x v="1"/>
  </r>
  <r>
    <s v="EMP1891"/>
    <s v="Charlie"/>
    <s v="Davis"/>
    <s v="Charlie Davis"/>
    <x v="0"/>
    <x v="0"/>
    <x v="5"/>
    <x v="0"/>
    <s v="28/07/2021"/>
    <x v="0"/>
    <x v="0"/>
    <n v="59555.1"/>
    <x v="0"/>
    <s v="Charlie.Davis@Example.Com"/>
    <n v="4216309000"/>
    <x v="2"/>
    <x v="2"/>
    <x v="0"/>
  </r>
  <r>
    <s v="EMP1892"/>
    <s v="Heidi"/>
    <s v="Smith"/>
    <s v="Heidi Smith"/>
    <x v="2"/>
    <x v="2"/>
    <x v="0"/>
    <x v="0"/>
    <s v="20/12/2024"/>
    <x v="5"/>
    <x v="4"/>
    <n v="70661.31"/>
    <x v="1"/>
    <s v="Heidi.Smith@Example.Com"/>
    <n v="5944633398"/>
    <x v="2"/>
    <x v="2"/>
    <x v="0"/>
  </r>
  <r>
    <s v="EMP1893"/>
    <s v="Charlie"/>
    <s v="Jones"/>
    <s v="Charlie Jones"/>
    <x v="1"/>
    <x v="4"/>
    <x v="4"/>
    <x v="0"/>
    <s v="23/04/2022"/>
    <x v="3"/>
    <x v="3"/>
    <n v="109988.16"/>
    <x v="2"/>
    <s v="Charlie.Jones@Example.Com"/>
    <n v="9485320894"/>
    <x v="2"/>
    <x v="2"/>
    <x v="0"/>
  </r>
  <r>
    <s v="EMP1894"/>
    <s v="David"/>
    <s v="Brown"/>
    <s v="David Brown"/>
    <x v="1"/>
    <x v="1"/>
    <x v="3"/>
    <x v="2"/>
    <s v="30/01/2020"/>
    <x v="1"/>
    <x v="1"/>
    <n v="101101.24"/>
    <x v="2"/>
    <s v="David.Brown@Example.Com"/>
    <n v="3263890218"/>
    <x v="3"/>
    <x v="3"/>
    <x v="0"/>
  </r>
  <r>
    <s v="EMP1895"/>
    <s v="David"/>
    <s v="Brown"/>
    <s v="David Brown"/>
    <x v="1"/>
    <x v="5"/>
    <x v="3"/>
    <x v="1"/>
    <s v="31/03/2021"/>
    <x v="0"/>
    <x v="0"/>
    <n v="112427.58"/>
    <x v="2"/>
    <s v="David.Brown@Example.Com"/>
    <n v="9471136336"/>
    <x v="2"/>
    <x v="2"/>
    <x v="0"/>
  </r>
  <r>
    <s v="EMP1896"/>
    <s v="Charlie"/>
    <s v="Miller"/>
    <s v="Charlie Miller"/>
    <x v="1"/>
    <x v="3"/>
    <x v="3"/>
    <x v="0"/>
    <s v="23/03/2020"/>
    <x v="1"/>
    <x v="1"/>
    <n v="119389.15"/>
    <x v="2"/>
    <s v="Charlie.Miller@Example.Com"/>
    <n v="9223410345"/>
    <x v="3"/>
    <x v="3"/>
    <x v="1"/>
  </r>
  <r>
    <s v="EMP1897"/>
    <s v="Alice"/>
    <s v="Brown"/>
    <s v="Alice Brown"/>
    <x v="2"/>
    <x v="4"/>
    <x v="3"/>
    <x v="2"/>
    <s v="16/07/2024"/>
    <x v="4"/>
    <x v="4"/>
    <n v="105861.23"/>
    <x v="2"/>
    <s v="Alice.Brown@Example.Com"/>
    <n v="9967331166"/>
    <x v="2"/>
    <x v="2"/>
    <x v="0"/>
  </r>
  <r>
    <s v="EMP1898"/>
    <s v="Heidi"/>
    <s v="Davis"/>
    <s v="Heidi Davis"/>
    <x v="2"/>
    <x v="2"/>
    <x v="1"/>
    <x v="1"/>
    <s v="22/03/2024"/>
    <x v="4"/>
    <x v="4"/>
    <n v="50869.61"/>
    <x v="0"/>
    <s v="Heidi.Davis@Example.Com"/>
    <n v="7269608436"/>
    <x v="0"/>
    <x v="0"/>
    <x v="0"/>
  </r>
  <r>
    <s v="EMP1899"/>
    <s v="David"/>
    <s v="Williams"/>
    <s v="David Williams"/>
    <x v="1"/>
    <x v="5"/>
    <x v="0"/>
    <x v="0"/>
    <s v="19/08/2023"/>
    <x v="2"/>
    <x v="2"/>
    <n v="0"/>
    <x v="0"/>
    <s v="David.Williams@Example.Com"/>
    <n v="6855078966"/>
    <x v="1"/>
    <x v="1"/>
    <x v="0"/>
  </r>
  <r>
    <s v="EMP1900"/>
    <s v="Eva"/>
    <s v="Jones"/>
    <s v="Eva Jones"/>
    <x v="1"/>
    <x v="0"/>
    <x v="3"/>
    <x v="1"/>
    <s v="03/10/2024"/>
    <x v="4"/>
    <x v="4"/>
    <n v="90856.21"/>
    <x v="2"/>
    <s v="Eva.Jones@Example.Com"/>
    <n v="9352196262"/>
    <x v="0"/>
    <x v="0"/>
    <x v="0"/>
  </r>
  <r>
    <s v="EMP1901"/>
    <s v="Heidi"/>
    <s v="Brown"/>
    <s v="Heidi Brown"/>
    <x v="1"/>
    <x v="0"/>
    <x v="3"/>
    <x v="0"/>
    <s v="06/05/2024"/>
    <x v="4"/>
    <x v="4"/>
    <n v="111008.63"/>
    <x v="2"/>
    <s v="Heidi.Brown@Example.Com"/>
    <n v="3556434368"/>
    <x v="1"/>
    <x v="1"/>
    <x v="0"/>
  </r>
  <r>
    <s v="EMP1902"/>
    <s v="Alice"/>
    <s v="Miller"/>
    <s v="Alice Miller"/>
    <x v="0"/>
    <x v="1"/>
    <x v="2"/>
    <x v="2"/>
    <s v="23/12/2022"/>
    <x v="2"/>
    <x v="3"/>
    <n v="52289.99"/>
    <x v="0"/>
    <s v="Alice.Miller@Example.Com"/>
    <n v="7093170694"/>
    <x v="3"/>
    <x v="3"/>
    <x v="0"/>
  </r>
  <r>
    <s v="EMP1903"/>
    <s v="Eva"/>
    <s v="Davis"/>
    <s v="Eva Davis"/>
    <x v="1"/>
    <x v="4"/>
    <x v="5"/>
    <x v="0"/>
    <s v="06/01/2024"/>
    <x v="4"/>
    <x v="4"/>
    <n v="97926.56"/>
    <x v="2"/>
    <s v="Eva.Davis@Example.Com"/>
    <n v="5607676163"/>
    <x v="0"/>
    <x v="0"/>
    <x v="0"/>
  </r>
  <r>
    <s v="EMP1904"/>
    <s v="Frank"/>
    <s v="Williams"/>
    <s v="Frank Williams"/>
    <x v="0"/>
    <x v="4"/>
    <x v="2"/>
    <x v="2"/>
    <s v="23/12/2024"/>
    <x v="5"/>
    <x v="4"/>
    <n v="53609.38"/>
    <x v="0"/>
    <s v="Frank.Williams@Example.Com"/>
    <n v="5345472238"/>
    <x v="2"/>
    <x v="2"/>
    <x v="1"/>
  </r>
  <r>
    <s v="EMP1905"/>
    <s v="Heidi"/>
    <s v="Johnson"/>
    <s v="Heidi Johnson"/>
    <x v="1"/>
    <x v="3"/>
    <x v="0"/>
    <x v="2"/>
    <s v="24/12/2020"/>
    <x v="0"/>
    <x v="1"/>
    <n v="95372.09"/>
    <x v="2"/>
    <s v="Heidi.Johnson@Example.Com"/>
    <n v="8983065030"/>
    <x v="1"/>
    <x v="1"/>
    <x v="1"/>
  </r>
  <r>
    <s v="EMP1906"/>
    <s v="David"/>
    <s v="Johnson"/>
    <s v="David Johnson"/>
    <x v="1"/>
    <x v="5"/>
    <x v="4"/>
    <x v="1"/>
    <s v="20/08/2020"/>
    <x v="1"/>
    <x v="1"/>
    <n v="95432.69"/>
    <x v="2"/>
    <s v="David.Johnson@Example.Com"/>
    <n v="2198041846"/>
    <x v="1"/>
    <x v="1"/>
    <x v="0"/>
  </r>
  <r>
    <s v="EMP1907"/>
    <s v="David"/>
    <s v="Williams"/>
    <s v="David Williams"/>
    <x v="1"/>
    <x v="5"/>
    <x v="0"/>
    <x v="2"/>
    <s v="28/10/2022"/>
    <x v="3"/>
    <x v="3"/>
    <n v="97615.87"/>
    <x v="2"/>
    <s v="David.Williams@Example.Com"/>
    <n v="2426423641"/>
    <x v="0"/>
    <x v="0"/>
    <x v="1"/>
  </r>
  <r>
    <s v="EMP1908"/>
    <s v="Bob"/>
    <s v="Davis"/>
    <s v="Bob Davis"/>
    <x v="3"/>
    <x v="5"/>
    <x v="3"/>
    <x v="2"/>
    <s v="23/10/2022"/>
    <x v="3"/>
    <x v="3"/>
    <n v="86867.78"/>
    <x v="2"/>
    <s v="Bob.Davis@Example.Com"/>
    <n v="8131909247"/>
    <x v="3"/>
    <x v="3"/>
    <x v="1"/>
  </r>
  <r>
    <s v="EMP1909"/>
    <s v="Eva"/>
    <s v="Miller"/>
    <s v="Eva Miller"/>
    <x v="2"/>
    <x v="4"/>
    <x v="0"/>
    <x v="1"/>
    <s v="20/11/2023"/>
    <x v="2"/>
    <x v="2"/>
    <n v="106615.71"/>
    <x v="2"/>
    <s v="Eva.Miller@Example.Com"/>
    <n v="7623039110"/>
    <x v="0"/>
    <x v="0"/>
    <x v="1"/>
  </r>
  <r>
    <s v="EMP1910"/>
    <s v="Bob"/>
    <s v="Williams"/>
    <s v="Bob Williams"/>
    <x v="1"/>
    <x v="1"/>
    <x v="1"/>
    <x v="0"/>
    <s v="03/11/2022"/>
    <x v="3"/>
    <x v="3"/>
    <n v="112856.21"/>
    <x v="2"/>
    <s v="Bob.Williams@Example.Com"/>
    <n v="4281785227"/>
    <x v="3"/>
    <x v="3"/>
    <x v="1"/>
  </r>
  <r>
    <s v="EMP1911"/>
    <s v="Bob"/>
    <s v="Jones"/>
    <s v="Bob Jones"/>
    <x v="0"/>
    <x v="2"/>
    <x v="0"/>
    <x v="0"/>
    <s v="28/11/2023"/>
    <x v="4"/>
    <x v="2"/>
    <n v="60356.78"/>
    <x v="1"/>
    <s v="Bob.Jones@Example.Com"/>
    <n v="2305248087"/>
    <x v="3"/>
    <x v="3"/>
    <x v="0"/>
  </r>
  <r>
    <s v="EMP1912"/>
    <s v="David"/>
    <s v="Jones"/>
    <s v="David Jones"/>
    <x v="1"/>
    <x v="0"/>
    <x v="1"/>
    <x v="2"/>
    <s v="05/03/2022"/>
    <x v="3"/>
    <x v="3"/>
    <n v="117870.22"/>
    <x v="2"/>
    <s v="David.Jones@Example.Com"/>
    <n v="622072238"/>
    <x v="1"/>
    <x v="1"/>
    <x v="1"/>
  </r>
  <r>
    <s v="EMP1913"/>
    <s v="Charlie"/>
    <s v="Johnson"/>
    <s v="Charlie Johnson"/>
    <x v="2"/>
    <x v="5"/>
    <x v="3"/>
    <x v="2"/>
    <s v="19/02/2024"/>
    <x v="4"/>
    <x v="4"/>
    <n v="95127.91"/>
    <x v="2"/>
    <s v="Charlie.Johnson@Example.Com"/>
    <n v="5947372131"/>
    <x v="0"/>
    <x v="0"/>
    <x v="1"/>
  </r>
  <r>
    <s v="EMP1914"/>
    <s v="Bob"/>
    <s v="Brown"/>
    <s v="Bob Brown"/>
    <x v="0"/>
    <x v="2"/>
    <x v="5"/>
    <x v="1"/>
    <s v="18/11/2021"/>
    <x v="0"/>
    <x v="0"/>
    <n v="78818.42"/>
    <x v="1"/>
    <s v="Bob.Brown@Example.Com"/>
    <n v="9016204786"/>
    <x v="0"/>
    <x v="0"/>
    <x v="1"/>
  </r>
  <r>
    <s v="EMP1915"/>
    <s v="Frank"/>
    <s v="Miller"/>
    <s v="Frank Miller"/>
    <x v="2"/>
    <x v="4"/>
    <x v="2"/>
    <x v="1"/>
    <s v="21/12/2022"/>
    <x v="2"/>
    <x v="3"/>
    <n v="108933.55"/>
    <x v="2"/>
    <s v="Frank.Miller@Example.Com"/>
    <n v="6886878598"/>
    <x v="3"/>
    <x v="3"/>
    <x v="0"/>
  </r>
  <r>
    <s v="EMP1916"/>
    <s v="Eva"/>
    <s v="Johnson"/>
    <s v="Eva Johnson"/>
    <x v="1"/>
    <x v="2"/>
    <x v="0"/>
    <x v="0"/>
    <s v="06/04/2024"/>
    <x v="4"/>
    <x v="4"/>
    <n v="68200.52"/>
    <x v="1"/>
    <s v="Eva.Johnson@Example.Com"/>
    <n v="6486287202"/>
    <x v="0"/>
    <x v="0"/>
    <x v="0"/>
  </r>
  <r>
    <s v="EMP1917"/>
    <s v="Eva"/>
    <s v="Brown"/>
    <s v="Eva Brown"/>
    <x v="0"/>
    <x v="2"/>
    <x v="0"/>
    <x v="2"/>
    <s v="22/07/2022"/>
    <x v="3"/>
    <x v="3"/>
    <n v="116934.97"/>
    <x v="2"/>
    <s v="Eva.Brown@Example.Com"/>
    <n v="1954196663"/>
    <x v="2"/>
    <x v="2"/>
    <x v="0"/>
  </r>
  <r>
    <s v="EMP1918"/>
    <s v="Charlie"/>
    <s v="Brown"/>
    <s v="Charlie Brown"/>
    <x v="1"/>
    <x v="5"/>
    <x v="4"/>
    <x v="0"/>
    <s v="14/09/2024"/>
    <x v="4"/>
    <x v="4"/>
    <n v="99567.78"/>
    <x v="2"/>
    <s v="Charlie.Brown@Example.Com"/>
    <n v="5057303626"/>
    <x v="2"/>
    <x v="2"/>
    <x v="0"/>
  </r>
  <r>
    <s v="EMP1919"/>
    <s v="Charlie"/>
    <s v="Garcia"/>
    <s v="Charlie Garcia"/>
    <x v="1"/>
    <x v="2"/>
    <x v="1"/>
    <x v="0"/>
    <s v="10/10/2021"/>
    <x v="0"/>
    <x v="0"/>
    <n v="90216.76"/>
    <x v="2"/>
    <s v="Charlie.Garcia@Example.Com"/>
    <n v="9246320373"/>
    <x v="0"/>
    <x v="0"/>
    <x v="0"/>
  </r>
  <r>
    <s v="EMP1920"/>
    <s v="Frank"/>
    <s v="Jones"/>
    <s v="Frank Jones"/>
    <x v="1"/>
    <x v="2"/>
    <x v="5"/>
    <x v="1"/>
    <s v="03/12/2020"/>
    <x v="0"/>
    <x v="1"/>
    <n v="96588.73"/>
    <x v="2"/>
    <s v="Frank.Jones@Example.Com"/>
    <n v="7677537259"/>
    <x v="0"/>
    <x v="0"/>
    <x v="0"/>
  </r>
  <r>
    <s v="EMP1921"/>
    <s v="Charlie"/>
    <s v="Davis"/>
    <s v="Charlie Davis"/>
    <x v="3"/>
    <x v="1"/>
    <x v="5"/>
    <x v="0"/>
    <s v="28/12/2022"/>
    <x v="2"/>
    <x v="3"/>
    <n v="71109.179999999993"/>
    <x v="1"/>
    <s v="Charlie.Davis@Example.Com"/>
    <n v="3214505765"/>
    <x v="3"/>
    <x v="3"/>
    <x v="0"/>
  </r>
  <r>
    <s v="EMP1922"/>
    <s v="Grace"/>
    <s v="Smith"/>
    <s v="Grace Smith"/>
    <x v="2"/>
    <x v="2"/>
    <x v="3"/>
    <x v="2"/>
    <s v="15/11/2020"/>
    <x v="1"/>
    <x v="1"/>
    <n v="50300.6"/>
    <x v="0"/>
    <s v="Grace.Smith@Example.Com"/>
    <n v="1945887070"/>
    <x v="2"/>
    <x v="2"/>
    <x v="1"/>
  </r>
  <r>
    <s v="EMP1923"/>
    <s v="Frank"/>
    <s v="Davis"/>
    <s v="Frank Davis"/>
    <x v="3"/>
    <x v="1"/>
    <x v="0"/>
    <x v="1"/>
    <s v="27/09/2023"/>
    <x v="2"/>
    <x v="2"/>
    <n v="60295.839999999997"/>
    <x v="1"/>
    <s v="Frank.Davis@Example.Com"/>
    <n v="5534820127"/>
    <x v="2"/>
    <x v="2"/>
    <x v="1"/>
  </r>
  <r>
    <s v="EMP1924"/>
    <s v="Heidi"/>
    <s v="Smith"/>
    <s v="Heidi Smith"/>
    <x v="3"/>
    <x v="0"/>
    <x v="1"/>
    <x v="1"/>
    <s v="09/07/2022"/>
    <x v="3"/>
    <x v="3"/>
    <n v="113012.21"/>
    <x v="2"/>
    <s v="Heidi.Smith@Example.Com"/>
    <n v="4008385075"/>
    <x v="1"/>
    <x v="1"/>
    <x v="1"/>
  </r>
  <r>
    <s v="EMP1925"/>
    <s v="Bob"/>
    <s v="Williams"/>
    <s v="Bob Williams"/>
    <x v="3"/>
    <x v="3"/>
    <x v="3"/>
    <x v="1"/>
    <s v="18/09/2024"/>
    <x v="4"/>
    <x v="4"/>
    <n v="65425.54"/>
    <x v="1"/>
    <s v="Bob.Williams@Example.Com"/>
    <n v="5975954507"/>
    <x v="3"/>
    <x v="3"/>
    <x v="0"/>
  </r>
  <r>
    <s v="EMP1926"/>
    <s v="Frank"/>
    <s v="Jones"/>
    <s v="Frank Jones"/>
    <x v="0"/>
    <x v="4"/>
    <x v="2"/>
    <x v="0"/>
    <s v="04/09/2023"/>
    <x v="2"/>
    <x v="2"/>
    <n v="86850.37"/>
    <x v="2"/>
    <s v="Frank.Jones@Example.Com"/>
    <n v="9177680897"/>
    <x v="1"/>
    <x v="1"/>
    <x v="0"/>
  </r>
  <r>
    <s v="EMP1927"/>
    <s v="Eva"/>
    <s v="Brown"/>
    <s v="Eva Brown"/>
    <x v="1"/>
    <x v="3"/>
    <x v="1"/>
    <x v="1"/>
    <s v="10/05/2024"/>
    <x v="4"/>
    <x v="4"/>
    <n v="81182.070000000007"/>
    <x v="1"/>
    <s v="Eva.Brown@Example.Com"/>
    <n v="1265742230"/>
    <x v="2"/>
    <x v="2"/>
    <x v="0"/>
  </r>
  <r>
    <s v="EMP1928"/>
    <s v="Bob"/>
    <s v="Miller"/>
    <s v="Bob Miller"/>
    <x v="1"/>
    <x v="1"/>
    <x v="4"/>
    <x v="2"/>
    <s v="10/12/2021"/>
    <x v="3"/>
    <x v="0"/>
    <n v="92222.03"/>
    <x v="2"/>
    <s v="Bob.Miller@Example.Com"/>
    <n v="9646300401"/>
    <x v="3"/>
    <x v="3"/>
    <x v="0"/>
  </r>
  <r>
    <s v="EMP1929"/>
    <s v="Alice"/>
    <s v="Smith"/>
    <s v="Alice Smith"/>
    <x v="3"/>
    <x v="1"/>
    <x v="4"/>
    <x v="1"/>
    <s v="14/10/2024"/>
    <x v="4"/>
    <x v="4"/>
    <n v="79934.83"/>
    <x v="1"/>
    <s v="Alice.Smith@Example.Com"/>
    <n v="3693626893"/>
    <x v="0"/>
    <x v="0"/>
    <x v="0"/>
  </r>
  <r>
    <s v="EMP1930"/>
    <s v="Alice"/>
    <s v="Davis"/>
    <s v="Alice Davis"/>
    <x v="3"/>
    <x v="5"/>
    <x v="0"/>
    <x v="2"/>
    <s v="07/01/2022"/>
    <x v="3"/>
    <x v="3"/>
    <n v="111201.12"/>
    <x v="2"/>
    <s v="Alice.Davis@Example.Com"/>
    <n v="3012047136"/>
    <x v="3"/>
    <x v="3"/>
    <x v="1"/>
  </r>
  <r>
    <s v="EMP1931"/>
    <s v="Heidi"/>
    <s v="Brown"/>
    <s v="Heidi Brown"/>
    <x v="2"/>
    <x v="1"/>
    <x v="0"/>
    <x v="0"/>
    <s v="07/08/2024"/>
    <x v="4"/>
    <x v="4"/>
    <n v="100960.05"/>
    <x v="2"/>
    <s v="Heidi.Brown@Example.Com"/>
    <n v="2711759573"/>
    <x v="0"/>
    <x v="0"/>
    <x v="1"/>
  </r>
  <r>
    <s v="EMP1932"/>
    <s v="Grace"/>
    <s v="Smith"/>
    <s v="Grace Smith"/>
    <x v="1"/>
    <x v="4"/>
    <x v="5"/>
    <x v="0"/>
    <s v="21/10/2020"/>
    <x v="1"/>
    <x v="1"/>
    <n v="64544.87"/>
    <x v="1"/>
    <s v="Grace.Smith@Example.Com"/>
    <n v="9885582983"/>
    <x v="0"/>
    <x v="0"/>
    <x v="0"/>
  </r>
  <r>
    <s v="EMP1933"/>
    <s v="Frank"/>
    <s v="Smith"/>
    <s v="Frank Smith"/>
    <x v="0"/>
    <x v="4"/>
    <x v="3"/>
    <x v="0"/>
    <s v="14/01/2020"/>
    <x v="1"/>
    <x v="1"/>
    <n v="78662.240000000005"/>
    <x v="1"/>
    <s v="Frank.Smith@Example.Com"/>
    <n v="9330674583"/>
    <x v="3"/>
    <x v="3"/>
    <x v="0"/>
  </r>
  <r>
    <s v="EMP1934"/>
    <s v="Grace"/>
    <s v="Garcia"/>
    <s v="Grace Garcia"/>
    <x v="1"/>
    <x v="4"/>
    <x v="3"/>
    <x v="1"/>
    <s v="03/09/2023"/>
    <x v="2"/>
    <x v="2"/>
    <n v="102867.06"/>
    <x v="2"/>
    <s v="Grace.Garcia@Example.Com"/>
    <n v="7609441282"/>
    <x v="0"/>
    <x v="0"/>
    <x v="0"/>
  </r>
  <r>
    <s v="EMP1935"/>
    <s v="Charlie"/>
    <s v="Smith"/>
    <s v="Charlie Smith"/>
    <x v="2"/>
    <x v="5"/>
    <x v="5"/>
    <x v="2"/>
    <s v="27/03/2020"/>
    <x v="1"/>
    <x v="1"/>
    <n v="107595.95"/>
    <x v="2"/>
    <s v="Charlie.Smith@Example.Com"/>
    <n v="3372188565"/>
    <x v="1"/>
    <x v="1"/>
    <x v="0"/>
  </r>
  <r>
    <s v="EMP1936"/>
    <s v="Eva"/>
    <s v="Miller"/>
    <s v="Eva Miller"/>
    <x v="2"/>
    <x v="4"/>
    <x v="2"/>
    <x v="2"/>
    <s v="04/04/2021"/>
    <x v="0"/>
    <x v="0"/>
    <n v="0"/>
    <x v="0"/>
    <s v="Eva.Miller@Example.Com"/>
    <n v="6954132970"/>
    <x v="2"/>
    <x v="2"/>
    <x v="1"/>
  </r>
  <r>
    <s v="EMP1937"/>
    <s v="Eva"/>
    <s v="Jones"/>
    <s v="Eva Jones"/>
    <x v="3"/>
    <x v="0"/>
    <x v="2"/>
    <x v="2"/>
    <s v="09/11/2020"/>
    <x v="1"/>
    <x v="1"/>
    <n v="95766.91"/>
    <x v="2"/>
    <s v="Eva.Jones@Example.Com"/>
    <n v="5066626704"/>
    <x v="0"/>
    <x v="0"/>
    <x v="0"/>
  </r>
  <r>
    <s v="EMP1938"/>
    <s v="Grace"/>
    <s v="Miller"/>
    <s v="Grace Miller"/>
    <x v="1"/>
    <x v="1"/>
    <x v="2"/>
    <x v="1"/>
    <s v="16/05/2021"/>
    <x v="0"/>
    <x v="0"/>
    <n v="51990.98"/>
    <x v="0"/>
    <s v="Grace.Miller@Example.Com"/>
    <n v="5143776935"/>
    <x v="1"/>
    <x v="1"/>
    <x v="0"/>
  </r>
  <r>
    <s v="EMP1939"/>
    <s v="Heidi"/>
    <s v="Johnson"/>
    <s v="Heidi Johnson"/>
    <x v="0"/>
    <x v="4"/>
    <x v="2"/>
    <x v="2"/>
    <s v="04/05/2023"/>
    <x v="2"/>
    <x v="2"/>
    <n v="83634.009999999995"/>
    <x v="1"/>
    <s v="Heidi.Johnson@Example.Com"/>
    <n v="6343925294"/>
    <x v="0"/>
    <x v="0"/>
    <x v="0"/>
  </r>
  <r>
    <s v="EMP1940"/>
    <s v="Eva"/>
    <s v="Brown"/>
    <s v="Eva Brown"/>
    <x v="2"/>
    <x v="0"/>
    <x v="1"/>
    <x v="2"/>
    <s v="15/11/2022"/>
    <x v="3"/>
    <x v="3"/>
    <n v="0"/>
    <x v="0"/>
    <s v="Eva.Brown@Example.Com"/>
    <n v="9611110285"/>
    <x v="2"/>
    <x v="2"/>
    <x v="0"/>
  </r>
  <r>
    <s v="EMP1941"/>
    <s v="Eva"/>
    <s v="Jones"/>
    <s v="Eva Jones"/>
    <x v="1"/>
    <x v="4"/>
    <x v="1"/>
    <x v="0"/>
    <s v="16/10/2021"/>
    <x v="0"/>
    <x v="0"/>
    <n v="82273.08"/>
    <x v="1"/>
    <s v="Eva.Jones@Example.Com"/>
    <n v="7120072023"/>
    <x v="1"/>
    <x v="1"/>
    <x v="1"/>
  </r>
  <r>
    <s v="EMP1942"/>
    <s v="Frank"/>
    <s v="Garcia"/>
    <s v="Frank Garcia"/>
    <x v="1"/>
    <x v="3"/>
    <x v="0"/>
    <x v="2"/>
    <s v="05/09/2022"/>
    <x v="3"/>
    <x v="3"/>
    <n v="94537.3"/>
    <x v="2"/>
    <s v="Frank.Garcia@Example.Com"/>
    <n v="5591024509"/>
    <x v="2"/>
    <x v="2"/>
    <x v="0"/>
  </r>
  <r>
    <s v="EMP1943"/>
    <s v="Alice"/>
    <s v="Jones"/>
    <s v="Alice Jones"/>
    <x v="3"/>
    <x v="5"/>
    <x v="5"/>
    <x v="1"/>
    <s v="06/06/2020"/>
    <x v="1"/>
    <x v="1"/>
    <n v="85970.65"/>
    <x v="2"/>
    <s v="Alice.Jones@Example.Com"/>
    <n v="9109032670"/>
    <x v="2"/>
    <x v="2"/>
    <x v="0"/>
  </r>
  <r>
    <s v="EMP1944"/>
    <s v="Charlie"/>
    <s v="Jones"/>
    <s v="Charlie Jones"/>
    <x v="0"/>
    <x v="4"/>
    <x v="4"/>
    <x v="1"/>
    <s v="22/10/2021"/>
    <x v="0"/>
    <x v="0"/>
    <n v="111071.02"/>
    <x v="2"/>
    <s v="Charlie.Jones@Example.Com"/>
    <n v="4949819420"/>
    <x v="1"/>
    <x v="1"/>
    <x v="1"/>
  </r>
  <r>
    <s v="EMP1945"/>
    <s v="Eva"/>
    <s v="Davis"/>
    <s v="Eva Davis"/>
    <x v="3"/>
    <x v="0"/>
    <x v="2"/>
    <x v="1"/>
    <s v="01/12/2022"/>
    <x v="2"/>
    <x v="3"/>
    <n v="56708.34"/>
    <x v="0"/>
    <s v="Eva.Davis@Example.Com"/>
    <n v="7942817933"/>
    <x v="1"/>
    <x v="1"/>
    <x v="1"/>
  </r>
  <r>
    <s v="EMP1946"/>
    <s v="Charlie"/>
    <s v="Jones"/>
    <s v="Charlie Jones"/>
    <x v="0"/>
    <x v="2"/>
    <x v="5"/>
    <x v="2"/>
    <s v="02/02/2022"/>
    <x v="3"/>
    <x v="3"/>
    <n v="104516.55"/>
    <x v="2"/>
    <s v="Charlie.Jones@Example.Com"/>
    <n v="652775843"/>
    <x v="1"/>
    <x v="1"/>
    <x v="1"/>
  </r>
  <r>
    <s v="EMP1947"/>
    <s v="Charlie"/>
    <s v="Garcia"/>
    <s v="Charlie Garcia"/>
    <x v="0"/>
    <x v="2"/>
    <x v="4"/>
    <x v="1"/>
    <s v="28/03/2021"/>
    <x v="0"/>
    <x v="0"/>
    <n v="108210.15"/>
    <x v="2"/>
    <s v="Charlie.Garcia@Example.Com"/>
    <n v="6634533721"/>
    <x v="3"/>
    <x v="3"/>
    <x v="0"/>
  </r>
  <r>
    <s v="EMP1948"/>
    <s v="Bob"/>
    <s v="Miller"/>
    <s v="Bob Miller"/>
    <x v="2"/>
    <x v="1"/>
    <x v="1"/>
    <x v="0"/>
    <s v="08/03/2024"/>
    <x v="4"/>
    <x v="4"/>
    <n v="0"/>
    <x v="0"/>
    <s v="Bob.Miller@Example.Com"/>
    <n v="109121721"/>
    <x v="1"/>
    <x v="1"/>
    <x v="0"/>
  </r>
  <r>
    <s v="EMP1949"/>
    <s v="Frank"/>
    <s v="Jones"/>
    <s v="Frank Jones"/>
    <x v="3"/>
    <x v="0"/>
    <x v="0"/>
    <x v="0"/>
    <s v="31/07/2024"/>
    <x v="4"/>
    <x v="4"/>
    <n v="80935.649999999994"/>
    <x v="1"/>
    <s v="Frank.Jones@Example.Com"/>
    <n v="1455937660"/>
    <x v="1"/>
    <x v="1"/>
    <x v="1"/>
  </r>
  <r>
    <s v="EMP1950"/>
    <s v="Frank"/>
    <s v="Williams"/>
    <s v="Frank Williams"/>
    <x v="1"/>
    <x v="0"/>
    <x v="0"/>
    <x v="0"/>
    <s v="03/04/2024"/>
    <x v="4"/>
    <x v="4"/>
    <n v="107020.19"/>
    <x v="2"/>
    <s v="Frank.Williams@Example.Com"/>
    <n v="8943705262"/>
    <x v="1"/>
    <x v="1"/>
    <x v="1"/>
  </r>
  <r>
    <s v="EMP1951"/>
    <s v="Charlie"/>
    <s v="Brown"/>
    <s v="Charlie Brown"/>
    <x v="1"/>
    <x v="5"/>
    <x v="4"/>
    <x v="0"/>
    <s v="23/09/2020"/>
    <x v="1"/>
    <x v="1"/>
    <n v="118677.67"/>
    <x v="2"/>
    <s v="Charlie.Brown@Example.Com"/>
    <n v="5100462775"/>
    <x v="1"/>
    <x v="1"/>
    <x v="1"/>
  </r>
  <r>
    <s v="EMP1952"/>
    <s v="Bob"/>
    <s v="Jones"/>
    <s v="Bob Jones"/>
    <x v="0"/>
    <x v="3"/>
    <x v="3"/>
    <x v="2"/>
    <s v="28/03/2020"/>
    <x v="1"/>
    <x v="1"/>
    <n v="63744.57"/>
    <x v="1"/>
    <s v="Bob.Jones@Example.Com"/>
    <n v="5725659201"/>
    <x v="0"/>
    <x v="0"/>
    <x v="1"/>
  </r>
  <r>
    <s v="EMP1953"/>
    <s v="Alice"/>
    <s v="Brown"/>
    <s v="Alice Brown"/>
    <x v="2"/>
    <x v="3"/>
    <x v="0"/>
    <x v="0"/>
    <s v="15/05/2020"/>
    <x v="1"/>
    <x v="1"/>
    <n v="0"/>
    <x v="0"/>
    <s v="Alice.Brown@Example.Com"/>
    <n v="4617520237"/>
    <x v="3"/>
    <x v="3"/>
    <x v="1"/>
  </r>
  <r>
    <s v="EMP1954"/>
    <s v="Bob"/>
    <s v="Williams"/>
    <s v="Bob Williams"/>
    <x v="0"/>
    <x v="4"/>
    <x v="4"/>
    <x v="1"/>
    <s v="13/02/2021"/>
    <x v="0"/>
    <x v="0"/>
    <n v="62934.73"/>
    <x v="1"/>
    <s v="Bob.Williams@Example.Com"/>
    <n v="9743260054"/>
    <x v="2"/>
    <x v="2"/>
    <x v="1"/>
  </r>
  <r>
    <s v="EMP1955"/>
    <s v="Bob"/>
    <s v="Williams"/>
    <s v="Bob Williams"/>
    <x v="1"/>
    <x v="0"/>
    <x v="0"/>
    <x v="1"/>
    <s v="13/12/2021"/>
    <x v="3"/>
    <x v="0"/>
    <n v="74654.23"/>
    <x v="1"/>
    <s v="Bob.Williams@Example.Com"/>
    <n v="9550178331"/>
    <x v="1"/>
    <x v="1"/>
    <x v="0"/>
  </r>
  <r>
    <s v="EMP1956"/>
    <s v="David"/>
    <s v="Brown"/>
    <s v="David Brown"/>
    <x v="1"/>
    <x v="4"/>
    <x v="1"/>
    <x v="0"/>
    <s v="08/05/2024"/>
    <x v="4"/>
    <x v="4"/>
    <n v="0"/>
    <x v="0"/>
    <s v="David.Brown@Example.Com"/>
    <n v="5848689992"/>
    <x v="0"/>
    <x v="0"/>
    <x v="0"/>
  </r>
  <r>
    <s v="EMP1957"/>
    <s v="David"/>
    <s v="Smith"/>
    <s v="David Smith"/>
    <x v="1"/>
    <x v="5"/>
    <x v="4"/>
    <x v="1"/>
    <s v="01/09/2020"/>
    <x v="1"/>
    <x v="1"/>
    <n v="118150.59"/>
    <x v="2"/>
    <s v="David.Smith@Example.Com"/>
    <n v="6079848703"/>
    <x v="0"/>
    <x v="0"/>
    <x v="0"/>
  </r>
  <r>
    <s v="EMP1958"/>
    <s v="David"/>
    <s v="Johnson"/>
    <s v="David Johnson"/>
    <x v="1"/>
    <x v="0"/>
    <x v="3"/>
    <x v="2"/>
    <s v="30/11/2023"/>
    <x v="4"/>
    <x v="2"/>
    <n v="91256.639999999999"/>
    <x v="2"/>
    <s v="David.Johnson@Example.Com"/>
    <n v="5069176798"/>
    <x v="0"/>
    <x v="0"/>
    <x v="1"/>
  </r>
  <r>
    <s v="EMP1959"/>
    <s v="Bob"/>
    <s v="Davis"/>
    <s v="Bob Davis"/>
    <x v="1"/>
    <x v="5"/>
    <x v="3"/>
    <x v="2"/>
    <s v="14/03/2021"/>
    <x v="0"/>
    <x v="0"/>
    <n v="85997.57"/>
    <x v="2"/>
    <s v="Bob.Davis@Example.Com"/>
    <n v="3593744038"/>
    <x v="2"/>
    <x v="2"/>
    <x v="1"/>
  </r>
  <r>
    <s v="EMP1960"/>
    <s v="Frank"/>
    <s v="Smith"/>
    <s v="Frank Smith"/>
    <x v="0"/>
    <x v="1"/>
    <x v="1"/>
    <x v="1"/>
    <s v="10/05/2020"/>
    <x v="1"/>
    <x v="1"/>
    <n v="84707.12"/>
    <x v="1"/>
    <s v="Frank.Smith@Example.Com"/>
    <n v="4640830372"/>
    <x v="1"/>
    <x v="1"/>
    <x v="1"/>
  </r>
  <r>
    <s v="EMP1961"/>
    <s v="Eva"/>
    <s v="Smith"/>
    <s v="Eva Smith"/>
    <x v="1"/>
    <x v="0"/>
    <x v="1"/>
    <x v="0"/>
    <s v="11/02/2021"/>
    <x v="0"/>
    <x v="0"/>
    <n v="84559.9"/>
    <x v="1"/>
    <s v="Eva.Smith@Example.Com"/>
    <n v="6060148859"/>
    <x v="3"/>
    <x v="3"/>
    <x v="1"/>
  </r>
  <r>
    <s v="EMP1962"/>
    <s v="Heidi"/>
    <s v="Miller"/>
    <s v="Heidi Miller"/>
    <x v="1"/>
    <x v="0"/>
    <x v="0"/>
    <x v="1"/>
    <s v="18/09/2024"/>
    <x v="4"/>
    <x v="4"/>
    <n v="81076.91"/>
    <x v="1"/>
    <s v="Heidi.Miller@Example.Com"/>
    <n v="8490793883"/>
    <x v="3"/>
    <x v="3"/>
    <x v="1"/>
  </r>
  <r>
    <s v="EMP1963"/>
    <s v="Eva"/>
    <s v="Davis"/>
    <s v="Eva Davis"/>
    <x v="2"/>
    <x v="2"/>
    <x v="1"/>
    <x v="2"/>
    <s v="22/10/2023"/>
    <x v="2"/>
    <x v="2"/>
    <n v="0"/>
    <x v="0"/>
    <s v="Eva.Davis@Example.Com"/>
    <n v="1368528305"/>
    <x v="0"/>
    <x v="0"/>
    <x v="1"/>
  </r>
  <r>
    <s v="EMP1964"/>
    <s v="Heidi"/>
    <s v="Davis"/>
    <s v="Heidi Davis"/>
    <x v="0"/>
    <x v="1"/>
    <x v="3"/>
    <x v="1"/>
    <s v="09/10/2023"/>
    <x v="2"/>
    <x v="2"/>
    <n v="97356.31"/>
    <x v="2"/>
    <s v="Heidi.Davis@Example.Com"/>
    <n v="1537012423"/>
    <x v="2"/>
    <x v="2"/>
    <x v="0"/>
  </r>
  <r>
    <s v="EMP1965"/>
    <s v="Grace"/>
    <s v="Smith"/>
    <s v="Grace Smith"/>
    <x v="2"/>
    <x v="0"/>
    <x v="5"/>
    <x v="0"/>
    <s v="27/02/2024"/>
    <x v="4"/>
    <x v="4"/>
    <n v="114770.32"/>
    <x v="2"/>
    <s v="Grace.Smith@Example.Com"/>
    <n v="4626325143"/>
    <x v="2"/>
    <x v="2"/>
    <x v="0"/>
  </r>
  <r>
    <s v="EMP1966"/>
    <s v="Bob"/>
    <s v="Jones"/>
    <s v="Bob Jones"/>
    <x v="3"/>
    <x v="2"/>
    <x v="0"/>
    <x v="0"/>
    <s v="05/03/2023"/>
    <x v="2"/>
    <x v="2"/>
    <n v="109082.07"/>
    <x v="2"/>
    <s v="Bob.Jones@Example.Com"/>
    <n v="8811210313"/>
    <x v="2"/>
    <x v="2"/>
    <x v="1"/>
  </r>
  <r>
    <s v="EMP1967"/>
    <s v="David"/>
    <s v="Miller"/>
    <s v="David Miller"/>
    <x v="2"/>
    <x v="0"/>
    <x v="3"/>
    <x v="2"/>
    <s v="15/04/2024"/>
    <x v="4"/>
    <x v="4"/>
    <n v="99944.57"/>
    <x v="2"/>
    <s v="David.Miller@Example.Com"/>
    <n v="2175188780"/>
    <x v="3"/>
    <x v="3"/>
    <x v="0"/>
  </r>
  <r>
    <s v="EMP1968"/>
    <s v="Eva"/>
    <s v="Miller"/>
    <s v="Eva Miller"/>
    <x v="2"/>
    <x v="5"/>
    <x v="3"/>
    <x v="1"/>
    <s v="20/05/2023"/>
    <x v="2"/>
    <x v="2"/>
    <n v="116509.72"/>
    <x v="2"/>
    <s v="Eva.Miller@Example.Com"/>
    <n v="7941515262"/>
    <x v="0"/>
    <x v="0"/>
    <x v="1"/>
  </r>
  <r>
    <s v="EMP1969"/>
    <s v="Eva"/>
    <s v="Williams"/>
    <s v="Eva Williams"/>
    <x v="1"/>
    <x v="1"/>
    <x v="1"/>
    <x v="0"/>
    <s v="28/05/2021"/>
    <x v="0"/>
    <x v="0"/>
    <n v="84253.9"/>
    <x v="1"/>
    <s v="Eva.Williams@Example.Com"/>
    <n v="8409112251"/>
    <x v="1"/>
    <x v="1"/>
    <x v="0"/>
  </r>
  <r>
    <s v="EMP1970"/>
    <s v="Charlie"/>
    <s v="Garcia"/>
    <s v="Charlie Garcia"/>
    <x v="0"/>
    <x v="3"/>
    <x v="2"/>
    <x v="0"/>
    <s v="27/08/2024"/>
    <x v="4"/>
    <x v="4"/>
    <n v="54776.01"/>
    <x v="0"/>
    <s v="Charlie.Garcia@Example.Com"/>
    <n v="8837505660"/>
    <x v="3"/>
    <x v="3"/>
    <x v="1"/>
  </r>
  <r>
    <s v="EMP1971"/>
    <s v="Charlie"/>
    <s v="Davis"/>
    <s v="Charlie Davis"/>
    <x v="2"/>
    <x v="4"/>
    <x v="2"/>
    <x v="2"/>
    <s v="11/08/2020"/>
    <x v="1"/>
    <x v="1"/>
    <n v="71192.679999999993"/>
    <x v="1"/>
    <s v="Charlie.Davis@Example.Com"/>
    <n v="8632397912"/>
    <x v="0"/>
    <x v="0"/>
    <x v="1"/>
  </r>
  <r>
    <s v="EMP1972"/>
    <s v="Bob"/>
    <s v="Smith"/>
    <s v="Bob Smith"/>
    <x v="1"/>
    <x v="1"/>
    <x v="3"/>
    <x v="0"/>
    <s v="24/08/2021"/>
    <x v="0"/>
    <x v="0"/>
    <n v="96346.53"/>
    <x v="2"/>
    <s v="Bob.Smith@Example.Com"/>
    <n v="7876553006"/>
    <x v="0"/>
    <x v="0"/>
    <x v="0"/>
  </r>
  <r>
    <s v="EMP1973"/>
    <s v="Eva"/>
    <s v="Williams"/>
    <s v="Eva Williams"/>
    <x v="1"/>
    <x v="5"/>
    <x v="5"/>
    <x v="1"/>
    <s v="02/06/2020"/>
    <x v="1"/>
    <x v="1"/>
    <n v="116680.63"/>
    <x v="2"/>
    <s v="Eva.Williams@Example.Com"/>
    <n v="3095055604"/>
    <x v="1"/>
    <x v="1"/>
    <x v="0"/>
  </r>
  <r>
    <s v="EMP1974"/>
    <s v="Grace"/>
    <s v="Brown"/>
    <s v="Grace Brown"/>
    <x v="0"/>
    <x v="1"/>
    <x v="3"/>
    <x v="2"/>
    <s v="10/12/2024"/>
    <x v="5"/>
    <x v="4"/>
    <n v="76343.56"/>
    <x v="1"/>
    <s v="Grace.Brown@Example.Com"/>
    <n v="7121988191"/>
    <x v="1"/>
    <x v="1"/>
    <x v="1"/>
  </r>
  <r>
    <s v="EMP1975"/>
    <s v="Alice"/>
    <s v="Johnson"/>
    <s v="Alice Johnson"/>
    <x v="1"/>
    <x v="4"/>
    <x v="2"/>
    <x v="2"/>
    <s v="16/12/2024"/>
    <x v="5"/>
    <x v="4"/>
    <n v="99424.14"/>
    <x v="2"/>
    <s v="Alice.Johnson@Example.Com"/>
    <n v="7788519052"/>
    <x v="1"/>
    <x v="1"/>
    <x v="1"/>
  </r>
  <r>
    <s v="EMP1976"/>
    <s v="Charlie"/>
    <s v="Garcia"/>
    <s v="Charlie Garcia"/>
    <x v="3"/>
    <x v="0"/>
    <x v="3"/>
    <x v="2"/>
    <s v="13/04/2024"/>
    <x v="4"/>
    <x v="4"/>
    <n v="57656.74"/>
    <x v="0"/>
    <s v="Charlie.Garcia@Example.Com"/>
    <n v="4864010423"/>
    <x v="2"/>
    <x v="2"/>
    <x v="0"/>
  </r>
  <r>
    <s v="EMP1977"/>
    <s v="Heidi"/>
    <s v="Garcia"/>
    <s v="Heidi Garcia"/>
    <x v="2"/>
    <x v="4"/>
    <x v="4"/>
    <x v="1"/>
    <s v="24/04/2020"/>
    <x v="1"/>
    <x v="1"/>
    <n v="77396.94"/>
    <x v="1"/>
    <s v="Heidi.Garcia@Example.Com"/>
    <n v="6245618516"/>
    <x v="1"/>
    <x v="1"/>
    <x v="0"/>
  </r>
  <r>
    <s v="EMP1978"/>
    <s v="Grace"/>
    <s v="Garcia"/>
    <s v="Grace Garcia"/>
    <x v="1"/>
    <x v="0"/>
    <x v="0"/>
    <x v="2"/>
    <s v="18/10/2021"/>
    <x v="0"/>
    <x v="0"/>
    <n v="54299.68"/>
    <x v="0"/>
    <s v="Grace.Garcia@Example.Com"/>
    <n v="4460045211"/>
    <x v="0"/>
    <x v="0"/>
    <x v="1"/>
  </r>
  <r>
    <s v="EMP1979"/>
    <s v="Charlie"/>
    <s v="Miller"/>
    <s v="Charlie Miller"/>
    <x v="3"/>
    <x v="5"/>
    <x v="2"/>
    <x v="1"/>
    <s v="25/02/2020"/>
    <x v="1"/>
    <x v="1"/>
    <n v="103563.58"/>
    <x v="2"/>
    <s v="Charlie.Miller@Example.Com"/>
    <n v="8991511454"/>
    <x v="1"/>
    <x v="1"/>
    <x v="0"/>
  </r>
  <r>
    <s v="EMP1980"/>
    <s v="Grace"/>
    <s v="Brown"/>
    <s v="Grace Brown"/>
    <x v="0"/>
    <x v="1"/>
    <x v="0"/>
    <x v="2"/>
    <s v="23/04/2022"/>
    <x v="3"/>
    <x v="3"/>
    <n v="74588.850000000006"/>
    <x v="1"/>
    <s v="Grace.Brown@Example.Com"/>
    <n v="1293913043"/>
    <x v="0"/>
    <x v="0"/>
    <x v="1"/>
  </r>
  <r>
    <s v="EMP1981"/>
    <s v="David"/>
    <s v="Garcia"/>
    <s v="David Garcia"/>
    <x v="1"/>
    <x v="0"/>
    <x v="0"/>
    <x v="1"/>
    <s v="22/06/2020"/>
    <x v="1"/>
    <x v="1"/>
    <n v="113727.23"/>
    <x v="2"/>
    <s v="David.Garcia@Example.Com"/>
    <n v="8818984840"/>
    <x v="3"/>
    <x v="3"/>
    <x v="1"/>
  </r>
  <r>
    <s v="EMP1982"/>
    <s v="Eva"/>
    <s v="Brown"/>
    <s v="Eva Brown"/>
    <x v="0"/>
    <x v="5"/>
    <x v="4"/>
    <x v="0"/>
    <s v="01/07/2023"/>
    <x v="2"/>
    <x v="2"/>
    <n v="72828.179999999993"/>
    <x v="1"/>
    <s v="Eva.Brown@Example.Com"/>
    <n v="6046154020"/>
    <x v="2"/>
    <x v="2"/>
    <x v="1"/>
  </r>
  <r>
    <s v="EMP1983"/>
    <s v="Grace"/>
    <s v="Jones"/>
    <s v="Grace Jones"/>
    <x v="1"/>
    <x v="4"/>
    <x v="3"/>
    <x v="2"/>
    <s v="02/11/2020"/>
    <x v="1"/>
    <x v="1"/>
    <n v="98717.09"/>
    <x v="2"/>
    <s v="Grace.Jones@Example.Com"/>
    <n v="1901707567"/>
    <x v="3"/>
    <x v="3"/>
    <x v="1"/>
  </r>
  <r>
    <s v="EMP1984"/>
    <s v="Frank"/>
    <s v="Garcia"/>
    <s v="Frank Garcia"/>
    <x v="2"/>
    <x v="4"/>
    <x v="3"/>
    <x v="2"/>
    <s v="18/03/2023"/>
    <x v="2"/>
    <x v="2"/>
    <n v="56840.800000000003"/>
    <x v="0"/>
    <s v="Frank.Garcia@Example.Com"/>
    <n v="1429831521"/>
    <x v="3"/>
    <x v="3"/>
    <x v="0"/>
  </r>
  <r>
    <s v="EMP1985"/>
    <s v="David"/>
    <s v="Johnson"/>
    <s v="David Johnson"/>
    <x v="3"/>
    <x v="1"/>
    <x v="5"/>
    <x v="1"/>
    <s v="26/11/2021"/>
    <x v="3"/>
    <x v="0"/>
    <n v="61663.91"/>
    <x v="1"/>
    <s v="David.Johnson@Example.Com"/>
    <n v="9107322835"/>
    <x v="0"/>
    <x v="0"/>
    <x v="0"/>
  </r>
  <r>
    <s v="EMP1986"/>
    <s v="Grace"/>
    <s v="Brown"/>
    <s v="Grace Brown"/>
    <x v="1"/>
    <x v="1"/>
    <x v="2"/>
    <x v="0"/>
    <s v="17/09/2024"/>
    <x v="4"/>
    <x v="4"/>
    <n v="109523.4"/>
    <x v="2"/>
    <s v="Grace.Brown@Example.Com"/>
    <n v="849378305"/>
    <x v="3"/>
    <x v="3"/>
    <x v="0"/>
  </r>
  <r>
    <s v="EMP1987"/>
    <s v="Eva"/>
    <s v="Brown"/>
    <s v="Eva Brown"/>
    <x v="0"/>
    <x v="5"/>
    <x v="5"/>
    <x v="2"/>
    <s v="07/05/2024"/>
    <x v="4"/>
    <x v="4"/>
    <n v="65812.02"/>
    <x v="1"/>
    <s v="Eva.Brown@Example.Com"/>
    <n v="3963845268"/>
    <x v="0"/>
    <x v="0"/>
    <x v="0"/>
  </r>
  <r>
    <s v="EMP1988"/>
    <s v="Bob"/>
    <s v="Johnson"/>
    <s v="Bob Johnson"/>
    <x v="1"/>
    <x v="3"/>
    <x v="5"/>
    <x v="2"/>
    <s v="13/07/2021"/>
    <x v="0"/>
    <x v="0"/>
    <n v="54708.88"/>
    <x v="0"/>
    <s v="Bob.Johnson@Example.Com"/>
    <n v="6944391648"/>
    <x v="1"/>
    <x v="1"/>
    <x v="0"/>
  </r>
  <r>
    <s v="EMP1989"/>
    <s v="Heidi"/>
    <s v="Garcia"/>
    <s v="Heidi Garcia"/>
    <x v="2"/>
    <x v="2"/>
    <x v="0"/>
    <x v="0"/>
    <s v="27/08/2023"/>
    <x v="2"/>
    <x v="2"/>
    <n v="107661.73"/>
    <x v="2"/>
    <s v="Heidi.Garcia@Example.Com"/>
    <n v="7016934291"/>
    <x v="1"/>
    <x v="1"/>
    <x v="0"/>
  </r>
  <r>
    <s v="EMP1990"/>
    <s v="Eva"/>
    <s v="Johnson"/>
    <s v="Eva Johnson"/>
    <x v="2"/>
    <x v="0"/>
    <x v="5"/>
    <x v="2"/>
    <s v="13/02/2021"/>
    <x v="0"/>
    <x v="0"/>
    <n v="79002"/>
    <x v="1"/>
    <s v="Eva.Johnson@Example.Com"/>
    <n v="9132033015"/>
    <x v="0"/>
    <x v="0"/>
    <x v="0"/>
  </r>
  <r>
    <s v="EMP1991"/>
    <s v="Heidi"/>
    <s v="Brown"/>
    <s v="Heidi Brown"/>
    <x v="1"/>
    <x v="2"/>
    <x v="1"/>
    <x v="1"/>
    <s v="12/11/2023"/>
    <x v="2"/>
    <x v="2"/>
    <n v="86135.69"/>
    <x v="2"/>
    <s v="Heidi.Brown@Example.Com"/>
    <n v="2341903105"/>
    <x v="1"/>
    <x v="1"/>
    <x v="1"/>
  </r>
  <r>
    <s v="EMP1992"/>
    <s v="Heidi"/>
    <s v="Johnson"/>
    <s v="Heidi Johnson"/>
    <x v="1"/>
    <x v="0"/>
    <x v="2"/>
    <x v="2"/>
    <s v="07/02/2021"/>
    <x v="0"/>
    <x v="0"/>
    <n v="115601.4"/>
    <x v="2"/>
    <s v="Heidi.Johnson@Example.Com"/>
    <n v="1537221555"/>
    <x v="2"/>
    <x v="2"/>
    <x v="0"/>
  </r>
  <r>
    <s v="EMP1993"/>
    <s v="Grace"/>
    <s v="Brown"/>
    <s v="Grace Brown"/>
    <x v="1"/>
    <x v="0"/>
    <x v="2"/>
    <x v="0"/>
    <s v="12/05/2022"/>
    <x v="3"/>
    <x v="3"/>
    <n v="64045.36"/>
    <x v="1"/>
    <s v="Grace.Brown@Example.Com"/>
    <n v="6847323652"/>
    <x v="3"/>
    <x v="3"/>
    <x v="0"/>
  </r>
  <r>
    <s v="EMP1994"/>
    <s v="David"/>
    <s v="Brown"/>
    <s v="David Brown"/>
    <x v="1"/>
    <x v="0"/>
    <x v="2"/>
    <x v="2"/>
    <s v="24/09/2024"/>
    <x v="4"/>
    <x v="4"/>
    <n v="80477.210000000006"/>
    <x v="1"/>
    <s v="David.Brown@Example.Com"/>
    <n v="3774604066"/>
    <x v="2"/>
    <x v="2"/>
    <x v="1"/>
  </r>
  <r>
    <s v="EMP1995"/>
    <s v="Bob"/>
    <s v="Jones"/>
    <s v="Bob Jones"/>
    <x v="1"/>
    <x v="1"/>
    <x v="0"/>
    <x v="2"/>
    <s v="16/08/2023"/>
    <x v="2"/>
    <x v="2"/>
    <n v="61240.9"/>
    <x v="1"/>
    <s v="Bob.Jones@Example.Com"/>
    <n v="2007843613"/>
    <x v="3"/>
    <x v="3"/>
    <x v="0"/>
  </r>
  <r>
    <s v="EMP1996"/>
    <s v="David"/>
    <s v="Smith"/>
    <s v="David Smith"/>
    <x v="2"/>
    <x v="2"/>
    <x v="1"/>
    <x v="0"/>
    <s v="28/01/2021"/>
    <x v="0"/>
    <x v="0"/>
    <n v="51939.29"/>
    <x v="0"/>
    <s v="David.Smith@Example.Com"/>
    <n v="2442607818"/>
    <x v="1"/>
    <x v="1"/>
    <x v="0"/>
  </r>
  <r>
    <s v="EMP1997"/>
    <s v="Eva"/>
    <s v="Brown"/>
    <s v="Eva Brown"/>
    <x v="2"/>
    <x v="1"/>
    <x v="5"/>
    <x v="2"/>
    <s v="14/05/2022"/>
    <x v="3"/>
    <x v="3"/>
    <n v="95284.54"/>
    <x v="2"/>
    <s v="Eva.Brown@Example.Com"/>
    <n v="7543734763"/>
    <x v="2"/>
    <x v="2"/>
    <x v="1"/>
  </r>
  <r>
    <s v="EMP1998"/>
    <s v="Charlie"/>
    <s v="Garcia"/>
    <s v="Charlie Garcia"/>
    <x v="3"/>
    <x v="2"/>
    <x v="1"/>
    <x v="2"/>
    <s v="06/05/2024"/>
    <x v="4"/>
    <x v="4"/>
    <n v="106247.67"/>
    <x v="2"/>
    <s v="Charlie.Garcia@Example.Com"/>
    <n v="2737203762"/>
    <x v="1"/>
    <x v="1"/>
    <x v="0"/>
  </r>
  <r>
    <s v="EMP1999"/>
    <s v="Charlie"/>
    <s v="Williams"/>
    <s v="Charlie Williams"/>
    <x v="0"/>
    <x v="0"/>
    <x v="3"/>
    <x v="0"/>
    <s v="23/04/2020"/>
    <x v="1"/>
    <x v="1"/>
    <n v="110170.88"/>
    <x v="2"/>
    <s v="Charlie.Williams@Example.Com"/>
    <n v="8821458413"/>
    <x v="3"/>
    <x v="3"/>
    <x v="0"/>
  </r>
  <r>
    <s v="EMP2000"/>
    <s v="Charlie"/>
    <s v="Miller"/>
    <s v="Charlie Miller"/>
    <x v="0"/>
    <x v="5"/>
    <x v="2"/>
    <x v="1"/>
    <s v="06/10/2024"/>
    <x v="4"/>
    <x v="4"/>
    <n v="52615.44"/>
    <x v="0"/>
    <s v="Charlie.Miller@Example.Com"/>
    <n v="8460191343"/>
    <x v="0"/>
    <x v="0"/>
    <x v="0"/>
  </r>
  <r>
    <s v="EMP2001"/>
    <s v="Eva"/>
    <s v="Davis"/>
    <s v="Eva Davis"/>
    <x v="1"/>
    <x v="0"/>
    <x v="5"/>
    <x v="2"/>
    <s v="18/04/2020"/>
    <x v="1"/>
    <x v="1"/>
    <n v="82547.259999999995"/>
    <x v="1"/>
    <s v="Eva.Davis@Example.Com"/>
    <n v="3899827801"/>
    <x v="0"/>
    <x v="0"/>
    <x v="1"/>
  </r>
  <r>
    <s v="EMP2002"/>
    <s v="Bob"/>
    <s v="Smith"/>
    <s v="Bob Smith"/>
    <x v="3"/>
    <x v="1"/>
    <x v="5"/>
    <x v="1"/>
    <s v="29/06/2020"/>
    <x v="1"/>
    <x v="1"/>
    <n v="63049.22"/>
    <x v="1"/>
    <s v="Bob.Smith@Example.Com"/>
    <n v="586950731"/>
    <x v="2"/>
    <x v="2"/>
    <x v="0"/>
  </r>
  <r>
    <s v="EMP2003"/>
    <s v="Frank"/>
    <s v="Smith"/>
    <s v="Frank Smith"/>
    <x v="3"/>
    <x v="5"/>
    <x v="0"/>
    <x v="1"/>
    <s v="15/02/2023"/>
    <x v="2"/>
    <x v="2"/>
    <n v="115229.12"/>
    <x v="2"/>
    <s v="Frank.Smith@Example.Com"/>
    <n v="1464493698"/>
    <x v="1"/>
    <x v="1"/>
    <x v="0"/>
  </r>
  <r>
    <s v="EMP2004"/>
    <s v="Grace"/>
    <s v="Smith"/>
    <s v="Grace Smith"/>
    <x v="0"/>
    <x v="0"/>
    <x v="5"/>
    <x v="1"/>
    <s v="15/06/2023"/>
    <x v="2"/>
    <x v="2"/>
    <n v="60687.63"/>
    <x v="1"/>
    <s v="Grace.Smith@Example.Com"/>
    <n v="9516793349"/>
    <x v="1"/>
    <x v="1"/>
    <x v="1"/>
  </r>
  <r>
    <s v="EMP2005"/>
    <s v="Frank"/>
    <s v="Jones"/>
    <s v="Frank Jones"/>
    <x v="1"/>
    <x v="1"/>
    <x v="5"/>
    <x v="2"/>
    <s v="19/03/2022"/>
    <x v="3"/>
    <x v="3"/>
    <n v="67492.73"/>
    <x v="1"/>
    <s v="Frank.Jones@Example.Com"/>
    <n v="5573857367"/>
    <x v="2"/>
    <x v="2"/>
    <x v="0"/>
  </r>
  <r>
    <s v="EMP2006"/>
    <s v="Grace"/>
    <s v="Brown"/>
    <s v="Grace Brown"/>
    <x v="1"/>
    <x v="5"/>
    <x v="5"/>
    <x v="2"/>
    <s v="25/10/2023"/>
    <x v="2"/>
    <x v="2"/>
    <n v="77821.789999999994"/>
    <x v="1"/>
    <s v="Grace.Brown@Example.Com"/>
    <n v="119236036"/>
    <x v="0"/>
    <x v="0"/>
    <x v="1"/>
  </r>
  <r>
    <s v="EMP2007"/>
    <s v="Charlie"/>
    <s v="Jones"/>
    <s v="Charlie Jones"/>
    <x v="3"/>
    <x v="0"/>
    <x v="1"/>
    <x v="0"/>
    <s v="14/07/2022"/>
    <x v="3"/>
    <x v="3"/>
    <n v="69146.95"/>
    <x v="1"/>
    <s v="Charlie.Jones@Example.Com"/>
    <n v="6811872332"/>
    <x v="3"/>
    <x v="3"/>
    <x v="1"/>
  </r>
  <r>
    <s v="EMP2008"/>
    <s v="Grace"/>
    <s v="Brown"/>
    <s v="Grace Brown"/>
    <x v="3"/>
    <x v="2"/>
    <x v="2"/>
    <x v="2"/>
    <s v="03/12/2022"/>
    <x v="2"/>
    <x v="3"/>
    <n v="90224.82"/>
    <x v="2"/>
    <s v="Grace.Brown@Example.Com"/>
    <n v="5104096148"/>
    <x v="2"/>
    <x v="2"/>
    <x v="0"/>
  </r>
  <r>
    <s v="EMP2009"/>
    <s v="David"/>
    <s v="Garcia"/>
    <s v="David Garcia"/>
    <x v="1"/>
    <x v="1"/>
    <x v="5"/>
    <x v="1"/>
    <s v="06/11/2024"/>
    <x v="4"/>
    <x v="4"/>
    <n v="62603.98"/>
    <x v="1"/>
    <s v="David.Garcia@Example.Com"/>
    <n v="7315391148"/>
    <x v="3"/>
    <x v="3"/>
    <x v="1"/>
  </r>
  <r>
    <s v="EMP2010"/>
    <s v="Bob"/>
    <s v="Jones"/>
    <s v="Bob Jones"/>
    <x v="3"/>
    <x v="4"/>
    <x v="2"/>
    <x v="0"/>
    <s v="06/10/2024"/>
    <x v="4"/>
    <x v="4"/>
    <n v="71148.27"/>
    <x v="1"/>
    <s v="Bob.Jones@Example.Com"/>
    <n v="8307482072"/>
    <x v="0"/>
    <x v="0"/>
    <x v="1"/>
  </r>
  <r>
    <s v="EMP2011"/>
    <s v="David"/>
    <s v="Jones"/>
    <s v="David Jones"/>
    <x v="2"/>
    <x v="2"/>
    <x v="0"/>
    <x v="2"/>
    <s v="21/09/2022"/>
    <x v="3"/>
    <x v="3"/>
    <n v="52031.74"/>
    <x v="0"/>
    <s v="David.Jones@Example.Com"/>
    <n v="6511893939"/>
    <x v="1"/>
    <x v="1"/>
    <x v="0"/>
  </r>
  <r>
    <s v="EMP2012"/>
    <s v="Grace"/>
    <s v="Miller"/>
    <s v="Grace Miller"/>
    <x v="3"/>
    <x v="0"/>
    <x v="3"/>
    <x v="2"/>
    <s v="15/04/2023"/>
    <x v="2"/>
    <x v="2"/>
    <n v="0"/>
    <x v="0"/>
    <s v="Grace.Miller@Example.Com"/>
    <n v="6557820189"/>
    <x v="0"/>
    <x v="0"/>
    <x v="1"/>
  </r>
  <r>
    <s v="EMP2013"/>
    <s v="Eva"/>
    <s v="Williams"/>
    <s v="Eva Williams"/>
    <x v="1"/>
    <x v="5"/>
    <x v="5"/>
    <x v="1"/>
    <s v="02/06/2020"/>
    <x v="1"/>
    <x v="1"/>
    <n v="116680.63"/>
    <x v="2"/>
    <s v="Eva.Williams@Example.Com"/>
    <n v="4322302332"/>
    <x v="2"/>
    <x v="2"/>
    <x v="1"/>
  </r>
  <r>
    <s v="EMP2014"/>
    <s v="Grace"/>
    <s v="Jones"/>
    <s v="Grace Jones"/>
    <x v="1"/>
    <x v="1"/>
    <x v="2"/>
    <x v="1"/>
    <s v="16/05/2021"/>
    <x v="0"/>
    <x v="0"/>
    <n v="51990.98"/>
    <x v="0"/>
    <s v="Grace.Jones@Example.Com"/>
    <n v="2470739200"/>
    <x v="1"/>
    <x v="1"/>
    <x v="0"/>
  </r>
  <r>
    <s v="EMP2015"/>
    <s v="David"/>
    <s v="Miller"/>
    <s v="David Miller"/>
    <x v="1"/>
    <x v="5"/>
    <x v="0"/>
    <x v="0"/>
    <s v="19/08/2023"/>
    <x v="2"/>
    <x v="2"/>
    <n v="0"/>
    <x v="0"/>
    <s v="David.Miller@Example.Com"/>
    <n v="3546212759"/>
    <x v="2"/>
    <x v="2"/>
    <x v="0"/>
  </r>
  <r>
    <s v="EMP2016"/>
    <s v="David"/>
    <s v="Johnson"/>
    <s v="David Johnson"/>
    <x v="1"/>
    <x v="3"/>
    <x v="1"/>
    <x v="2"/>
    <s v="11/07/2021"/>
    <x v="0"/>
    <x v="0"/>
    <n v="100215.06"/>
    <x v="2"/>
    <s v="David.Johnson@Example.Com"/>
    <n v="2508261122"/>
    <x v="2"/>
    <x v="2"/>
    <x v="0"/>
  </r>
  <r>
    <s v="EMP2017"/>
    <s v="Charlie"/>
    <s v="Williams"/>
    <s v="Charlie Williams"/>
    <x v="2"/>
    <x v="1"/>
    <x v="4"/>
    <x v="0"/>
    <s v="10/04/2023"/>
    <x v="2"/>
    <x v="2"/>
    <n v="114587.11"/>
    <x v="2"/>
    <s v="Charlie.Williams@Example.Com"/>
    <n v="1261632487"/>
    <x v="0"/>
    <x v="0"/>
    <x v="1"/>
  </r>
  <r>
    <s v="EMP2018"/>
    <s v="Alice"/>
    <s v="Garcia"/>
    <s v="Alice Garcia"/>
    <x v="1"/>
    <x v="5"/>
    <x v="3"/>
    <x v="2"/>
    <s v="16/12/2024"/>
    <x v="5"/>
    <x v="4"/>
    <n v="71318.789999999994"/>
    <x v="1"/>
    <s v="Alice.Garcia@Example.Com"/>
    <n v="8995729892"/>
    <x v="2"/>
    <x v="2"/>
    <x v="0"/>
  </r>
  <r>
    <s v="EMP2019"/>
    <s v="Heidi"/>
    <s v="Jones"/>
    <s v="Heidi Jones"/>
    <x v="1"/>
    <x v="0"/>
    <x v="5"/>
    <x v="1"/>
    <s v="22/02/2021"/>
    <x v="0"/>
    <x v="0"/>
    <n v="77764.240000000005"/>
    <x v="1"/>
    <s v="Heidi.Jones@Example.Com"/>
    <n v="7629745492"/>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1E310-DEDA-452D-B74B-DD4AB6B309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A50:B56" firstHeaderRow="1" firstDataRow="1" firstDataCol="1"/>
  <pivotFields count="18">
    <pivotField showAll="0"/>
    <pivotField showAll="0"/>
    <pivotField showAll="0"/>
    <pivotField showAll="0"/>
    <pivotField numFmtId="1" showAll="0"/>
    <pivotField showAll="0"/>
    <pivotField showAll="0"/>
    <pivotField showAll="0"/>
    <pivotField showAll="0"/>
    <pivotField numFmtId="1" showAll="0"/>
    <pivotField axis="axisRow" numFmtId="1" showAll="0">
      <items count="6">
        <item x="1"/>
        <item x="0"/>
        <item x="3"/>
        <item x="2"/>
        <item x="4"/>
        <item t="default"/>
      </items>
    </pivotField>
    <pivotField dataField="1" showAll="0"/>
    <pivotField showAll="0"/>
    <pivotField showAll="0"/>
    <pivotField numFmtId="1" showAll="0"/>
    <pivotField showAll="0" sortType="ascending">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6">
    <i>
      <x/>
    </i>
    <i>
      <x v="1"/>
    </i>
    <i>
      <x v="2"/>
    </i>
    <i>
      <x v="3"/>
    </i>
    <i>
      <x v="4"/>
    </i>
    <i t="grand">
      <x/>
    </i>
  </rowItems>
  <colItems count="1">
    <i/>
  </colItems>
  <dataFields count="1">
    <dataField name="Average of Salary" fld="11" subtotal="average" baseField="10" baseItem="2" numFmtId="164"/>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109AE-9816-4934-946D-10D066CA330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mote">
  <location ref="A41:C44" firstHeaderRow="0" firstDataRow="1" firstDataCol="1"/>
  <pivotFields count="18">
    <pivotField showAll="0"/>
    <pivotField showAll="0"/>
    <pivotField showAll="0"/>
    <pivotField showAll="0"/>
    <pivotField numFmtId="1"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numFmtId="1" showAll="0"/>
    <pivotField numFmtId="1" showAll="0"/>
    <pivotField dataField="1" showAll="0"/>
    <pivotField showAll="0"/>
    <pivotField showAll="0"/>
    <pivotField numFmtId="1" showAll="0"/>
    <pivotField showAll="0"/>
    <pivotField dataField="1" showAll="0"/>
    <pivotField axis="axisRow" showAll="0">
      <items count="3">
        <item x="1"/>
        <item x="0"/>
        <item t="default"/>
      </items>
    </pivotField>
  </pivotFields>
  <rowFields count="1">
    <field x="17"/>
  </rowFields>
  <rowItems count="3">
    <i>
      <x/>
    </i>
    <i>
      <x v="1"/>
    </i>
    <i t="grand">
      <x/>
    </i>
  </rowItems>
  <colFields count="1">
    <field x="-2"/>
  </colFields>
  <colItems count="2">
    <i>
      <x/>
    </i>
    <i i="1">
      <x v="1"/>
    </i>
  </colItems>
  <dataFields count="2">
    <dataField name="Average of Salary" fld="11" subtotal="average" baseField="17" baseItem="0" numFmtId="164"/>
    <dataField name="Average of Performance Grade" fld="16" subtotal="average" baseField="17" baseItem="0" numFmtId="2"/>
  </dataFields>
  <formats count="2">
    <format dxfId="2">
      <pivotArea outline="0" collapsedLevelsAreSubtotals="1" fieldPosition="0"/>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4ED41-034A-42EB-9EA1-1621EC526C8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Age">
  <location ref="E12:F17" firstHeaderRow="1" firstDataRow="1" firstDataCol="1"/>
  <pivotFields count="18">
    <pivotField showAll="0"/>
    <pivotField showAll="0"/>
    <pivotField showAll="0"/>
    <pivotField showAll="0"/>
    <pivotField axis="axisRow" numFmtId="1"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showAll="0"/>
    <pivotField showAll="0"/>
    <pivotField showAll="0"/>
    <pivotField numFmtId="1" showAll="0"/>
    <pivotField showAll="0"/>
    <pivotField dataField="1" showAll="0"/>
    <pivotField showAll="0"/>
  </pivotFields>
  <rowFields count="1">
    <field x="4"/>
  </rowFields>
  <rowItems count="5">
    <i>
      <x v="1"/>
    </i>
    <i>
      <x/>
    </i>
    <i>
      <x v="3"/>
    </i>
    <i>
      <x v="2"/>
    </i>
    <i t="grand">
      <x/>
    </i>
  </rowItems>
  <colItems count="1">
    <i/>
  </colItems>
  <dataFields count="1">
    <dataField name="Average of Performance Grade" fld="16" subtotal="average" baseField="4" baseItem="0" numFmtId="2"/>
  </dataFields>
  <formats count="1">
    <format dxfId="3">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DA2C56-2D40-4E3E-BFAC-6AEB004EB0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E1:F8" firstHeaderRow="1" firstDataRow="1" firstDataCol="1"/>
  <pivotFields count="18">
    <pivotField dataField="1" showAll="0"/>
    <pivotField showAll="0"/>
    <pivotField showAll="0"/>
    <pivotField showAll="0"/>
    <pivotField numFmtId="1" showAll="0"/>
    <pivotField showAll="0"/>
    <pivotField axis="axisRow" showAll="0" sortType="ascending">
      <items count="8">
        <item x="0"/>
        <item x="3"/>
        <item x="5"/>
        <item x="2"/>
        <item x="4"/>
        <item x="1"/>
        <item m="1" x="6"/>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showAll="0"/>
    <pivotField showAll="0"/>
    <pivotField showAll="0"/>
    <pivotField numFmtId="1" showAll="0"/>
    <pivotField showAll="0"/>
    <pivotField showAll="0"/>
    <pivotField showAll="0"/>
  </pivotFields>
  <rowFields count="1">
    <field x="6"/>
  </rowFields>
  <rowItems count="7">
    <i>
      <x v="5"/>
    </i>
    <i>
      <x v="4"/>
    </i>
    <i>
      <x v="2"/>
    </i>
    <i>
      <x v="3"/>
    </i>
    <i>
      <x v="1"/>
    </i>
    <i>
      <x/>
    </i>
    <i t="grand">
      <x/>
    </i>
  </rowItems>
  <colItems count="1">
    <i/>
  </colItems>
  <dataFields count="1">
    <dataField name="Count of Employee_ID" fld="0" subtotal="count" baseField="0" baseItem="0"/>
  </dataFields>
  <chartFormats count="5">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6" count="1" selected="0">
            <x v="5"/>
          </reference>
        </references>
      </pivotArea>
    </chartFormat>
    <chartFormat chart="3" format="17">
      <pivotArea type="data" outline="0" fieldPosition="0">
        <references count="2">
          <reference field="4294967294" count="1" selected="0">
            <x v="0"/>
          </reference>
          <reference field="6" count="1" selected="0">
            <x v="4"/>
          </reference>
        </references>
      </pivotArea>
    </chartFormat>
    <chartFormat chart="3" format="18">
      <pivotArea type="data" outline="0" fieldPosition="0">
        <references count="2">
          <reference field="4294967294" count="1" selected="0">
            <x v="0"/>
          </reference>
          <reference field="6" count="1" selected="0">
            <x v="2"/>
          </reference>
        </references>
      </pivotArea>
    </chartFormat>
    <chartFormat chart="3" format="1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855192-86C5-48A2-9F0E-2035C56E9C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ment">
  <location ref="A61:B68" firstHeaderRow="1" firstDataRow="1" firstDataCol="1"/>
  <pivotFields count="18">
    <pivotField showAll="0"/>
    <pivotField showAll="0"/>
    <pivotField showAll="0"/>
    <pivotField showAll="0"/>
    <pivotField numFmtId="1" showAll="0"/>
    <pivotField axis="axisRow" showAll="0" sortType="descending">
      <items count="8">
        <item x="2"/>
        <item x="3"/>
        <item x="0"/>
        <item x="1"/>
        <item x="5"/>
        <item x="4"/>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showAll="0"/>
    <pivotField showAll="0"/>
    <pivotField showAll="0"/>
    <pivotField numFmtId="1" showAll="0"/>
    <pivotField showAll="0"/>
    <pivotField dataField="1" showAll="0"/>
    <pivotField showAll="0"/>
  </pivotFields>
  <rowFields count="1">
    <field x="5"/>
  </rowFields>
  <rowItems count="7">
    <i>
      <x v="5"/>
    </i>
    <i>
      <x/>
    </i>
    <i>
      <x v="4"/>
    </i>
    <i>
      <x v="1"/>
    </i>
    <i>
      <x v="2"/>
    </i>
    <i>
      <x v="3"/>
    </i>
    <i t="grand">
      <x/>
    </i>
  </rowItems>
  <colItems count="1">
    <i/>
  </colItems>
  <dataFields count="1">
    <dataField name="Average of Performance Grade" fld="16" subtotal="average" baseField="5" baseItem="0" numFmtId="2"/>
  </dataFields>
  <formats count="1">
    <format dxfId="4">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7E93D8-6478-44E5-B4E7-978983A7F42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21:B28" firstHeaderRow="1" firstDataRow="1" firstDataCol="1"/>
  <pivotFields count="18">
    <pivotField showAll="0"/>
    <pivotField showAll="0"/>
    <pivotField showAll="0"/>
    <pivotField showAll="0"/>
    <pivotField numFmtId="1" showAll="0"/>
    <pivotField axis="axisRow" showAll="0" sortType="descending">
      <items count="8">
        <item x="3"/>
        <item x="2"/>
        <item x="0"/>
        <item x="1"/>
        <item x="5"/>
        <item x="4"/>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dataField="1" showAll="0"/>
    <pivotField showAll="0"/>
    <pivotField showAll="0"/>
    <pivotField numFmtId="1" showAll="0"/>
    <pivotField showAll="0"/>
    <pivotField showAll="0"/>
    <pivotField showAll="0"/>
  </pivotFields>
  <rowFields count="1">
    <field x="5"/>
  </rowFields>
  <rowItems count="7">
    <i>
      <x v="2"/>
    </i>
    <i>
      <x v="5"/>
    </i>
    <i>
      <x v="4"/>
    </i>
    <i>
      <x v="3"/>
    </i>
    <i>
      <x v="1"/>
    </i>
    <i>
      <x/>
    </i>
    <i t="grand">
      <x/>
    </i>
  </rowItems>
  <colItems count="1">
    <i/>
  </colItems>
  <dataFields count="1">
    <dataField name="Sum of Salary" fld="11" baseField="5"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83F2A4-9A7F-48B5-BBD2-3DA38E6E95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tatus">
  <location ref="E22:F26" firstHeaderRow="1" firstDataRow="1" firstDataCol="1"/>
  <pivotFields count="18">
    <pivotField showAll="0"/>
    <pivotField showAll="0"/>
    <pivotField showAll="0"/>
    <pivotField showAll="0"/>
    <pivotField numFmtId="1" showAll="0"/>
    <pivotField showAll="0"/>
    <pivotField showAll="0"/>
    <pivotField axis="axisRow" showAll="0">
      <items count="5">
        <item x="0"/>
        <item x="2"/>
        <item x="1"/>
        <item m="1" x="3"/>
        <item t="default"/>
      </items>
    </pivotField>
    <pivotField showAll="0"/>
    <pivotField numFmtId="1" showAll="0"/>
    <pivotField numFmtId="1" showAll="0"/>
    <pivotField showAll="0"/>
    <pivotField showAll="0"/>
    <pivotField showAll="0"/>
    <pivotField numFmtId="1" showAll="0"/>
    <pivotField showAll="0"/>
    <pivotField dataField="1" showAll="0"/>
    <pivotField showAll="0"/>
  </pivotFields>
  <rowFields count="1">
    <field x="7"/>
  </rowFields>
  <rowItems count="4">
    <i>
      <x/>
    </i>
    <i>
      <x v="1"/>
    </i>
    <i>
      <x v="2"/>
    </i>
    <i t="grand">
      <x/>
    </i>
  </rowItems>
  <colItems count="1">
    <i/>
  </colItems>
  <dataFields count="1">
    <dataField name="Average of Performance Grade" fld="16" subtotal="average" baseField="7" baseItem="1" numFmtId="2"/>
  </dataFields>
  <formats count="1">
    <format dxfId="6">
      <pivotArea outline="0" collapsedLevelsAreSubtotals="1" fieldPosition="0"/>
    </format>
  </formats>
  <chartFormats count="8">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4FF1F1-812D-4545-928F-F8ACB0F5FD3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formance Score">
  <location ref="E32:F37" firstHeaderRow="1" firstDataRow="1" firstDataCol="1"/>
  <pivotFields count="18">
    <pivotField showAll="0"/>
    <pivotField showAll="0"/>
    <pivotField showAll="0"/>
    <pivotField showAll="0"/>
    <pivotField numFmtId="1" showAll="0"/>
    <pivotField showAll="0"/>
    <pivotField showAll="0"/>
    <pivotField showAll="0"/>
    <pivotField showAll="0"/>
    <pivotField numFmtId="1" showAll="0"/>
    <pivotField numFmtId="1" showAll="0"/>
    <pivotField dataField="1" showAll="0"/>
    <pivotField showAll="0"/>
    <pivotField showAll="0"/>
    <pivotField numFmtId="1" showAll="0"/>
    <pivotField axis="axisRow" showAll="0" sortType="ascending">
      <items count="6">
        <item x="0"/>
        <item x="1"/>
        <item x="2"/>
        <item x="3"/>
        <item m="1"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5">
    <i>
      <x v="3"/>
    </i>
    <i>
      <x v="1"/>
    </i>
    <i>
      <x/>
    </i>
    <i>
      <x v="2"/>
    </i>
    <i t="grand">
      <x/>
    </i>
  </rowItems>
  <colItems count="1">
    <i/>
  </colItems>
  <dataFields count="1">
    <dataField name="Sum of Salary" fld="11" baseField="14"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CDAE87-0BFB-49A5-A5AB-A66F255F503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Performance Score">
  <location ref="A32:B37" firstHeaderRow="1" firstDataRow="1" firstDataCol="1"/>
  <pivotFields count="18">
    <pivotField dataField="1" showAll="0"/>
    <pivotField showAll="0"/>
    <pivotField showAll="0"/>
    <pivotField showAll="0"/>
    <pivotField numFmtId="1" showAll="0"/>
    <pivotField showAll="0"/>
    <pivotField showAll="0"/>
    <pivotField showAll="0"/>
    <pivotField showAll="0"/>
    <pivotField numFmtId="1" showAll="0"/>
    <pivotField numFmtId="1" showAll="0"/>
    <pivotField showAll="0"/>
    <pivotField showAll="0"/>
    <pivotField showAll="0"/>
    <pivotField numFmtId="1" showAll="0"/>
    <pivotField axis="axisRow" showAll="0" sortType="descending">
      <items count="6">
        <item x="0"/>
        <item x="1"/>
        <item x="2"/>
        <item x="3"/>
        <item m="1"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5">
    <i>
      <x v="2"/>
    </i>
    <i>
      <x/>
    </i>
    <i>
      <x v="1"/>
    </i>
    <i>
      <x v="3"/>
    </i>
    <i t="grand">
      <x/>
    </i>
  </rowItems>
  <colItems count="1">
    <i/>
  </colItems>
  <dataFields count="1">
    <dataField name="Count of Employee_ID" fld="0" subtotal="count" baseField="0" baseItem="0"/>
  </dataFields>
  <formats count="1">
    <format dxfId="8">
      <pivotArea outline="0" collapsedLevelsAreSubtotals="1" fieldPosition="0"/>
    </format>
  </formats>
  <chartFormats count="6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5" count="1" selected="0">
            <x v="3"/>
          </reference>
        </references>
      </pivotArea>
    </chartFormat>
    <chartFormat chart="7" format="12">
      <pivotArea type="data" outline="0" fieldPosition="0">
        <references count="2">
          <reference field="4294967294" count="1" selected="0">
            <x v="0"/>
          </reference>
          <reference field="15" count="1" selected="0">
            <x v="1"/>
          </reference>
        </references>
      </pivotArea>
    </chartFormat>
    <chartFormat chart="7" format="13">
      <pivotArea type="data" outline="0" fieldPosition="0">
        <references count="2">
          <reference field="4294967294" count="1" selected="0">
            <x v="0"/>
          </reference>
          <reference field="15" count="1" selected="0">
            <x v="0"/>
          </reference>
        </references>
      </pivotArea>
    </chartFormat>
    <chartFormat chart="7" format="14">
      <pivotArea type="data" outline="0" fieldPosition="0">
        <references count="2">
          <reference field="4294967294" count="1" selected="0">
            <x v="0"/>
          </reference>
          <reference field="15"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5" count="1" selected="0">
            <x v="3"/>
          </reference>
        </references>
      </pivotArea>
    </chartFormat>
    <chartFormat chart="8" format="7">
      <pivotArea type="data" outline="0" fieldPosition="0">
        <references count="2">
          <reference field="4294967294" count="1" selected="0">
            <x v="0"/>
          </reference>
          <reference field="15" count="1" selected="0">
            <x v="1"/>
          </reference>
        </references>
      </pivotArea>
    </chartFormat>
    <chartFormat chart="8" format="8">
      <pivotArea type="data" outline="0" fieldPosition="0">
        <references count="2">
          <reference field="4294967294" count="1" selected="0">
            <x v="0"/>
          </reference>
          <reference field="15" count="1" selected="0">
            <x v="0"/>
          </reference>
        </references>
      </pivotArea>
    </chartFormat>
    <chartFormat chart="8" format="9">
      <pivotArea type="data" outline="0" fieldPosition="0">
        <references count="2">
          <reference field="4294967294" count="1" selected="0">
            <x v="0"/>
          </reference>
          <reference field="15"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5" count="1" selected="0">
            <x v="3"/>
          </reference>
        </references>
      </pivotArea>
    </chartFormat>
    <chartFormat chart="9" format="12">
      <pivotArea type="data" outline="0" fieldPosition="0">
        <references count="2">
          <reference field="4294967294" count="1" selected="0">
            <x v="0"/>
          </reference>
          <reference field="15" count="1" selected="0">
            <x v="1"/>
          </reference>
        </references>
      </pivotArea>
    </chartFormat>
    <chartFormat chart="9" format="13">
      <pivotArea type="data" outline="0" fieldPosition="0">
        <references count="2">
          <reference field="4294967294" count="1" selected="0">
            <x v="0"/>
          </reference>
          <reference field="15" count="1" selected="0">
            <x v="0"/>
          </reference>
        </references>
      </pivotArea>
    </chartFormat>
    <chartFormat chart="9" format="14">
      <pivotArea type="data" outline="0" fieldPosition="0">
        <references count="2">
          <reference field="4294967294" count="1" selected="0">
            <x v="0"/>
          </reference>
          <reference field="15" count="1" selected="0">
            <x v="2"/>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5" count="1" selected="0">
            <x v="3"/>
          </reference>
        </references>
      </pivotArea>
    </chartFormat>
    <chartFormat chart="10" format="12">
      <pivotArea type="data" outline="0" fieldPosition="0">
        <references count="2">
          <reference field="4294967294" count="1" selected="0">
            <x v="0"/>
          </reference>
          <reference field="15" count="1" selected="0">
            <x v="1"/>
          </reference>
        </references>
      </pivotArea>
    </chartFormat>
    <chartFormat chart="10" format="13">
      <pivotArea type="data" outline="0" fieldPosition="0">
        <references count="2">
          <reference field="4294967294" count="1" selected="0">
            <x v="0"/>
          </reference>
          <reference field="15" count="1" selected="0">
            <x v="0"/>
          </reference>
        </references>
      </pivotArea>
    </chartFormat>
    <chartFormat chart="10" format="14">
      <pivotArea type="data" outline="0" fieldPosition="0">
        <references count="2">
          <reference field="4294967294" count="1" selected="0">
            <x v="0"/>
          </reference>
          <reference field="15" count="1" selected="0">
            <x v="2"/>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5" count="1" selected="0">
            <x v="3"/>
          </reference>
        </references>
      </pivotArea>
    </chartFormat>
    <chartFormat chart="13" format="7">
      <pivotArea type="data" outline="0" fieldPosition="0">
        <references count="2">
          <reference field="4294967294" count="1" selected="0">
            <x v="0"/>
          </reference>
          <reference field="15" count="1" selected="0">
            <x v="1"/>
          </reference>
        </references>
      </pivotArea>
    </chartFormat>
    <chartFormat chart="13" format="8">
      <pivotArea type="data" outline="0" fieldPosition="0">
        <references count="2">
          <reference field="4294967294" count="1" selected="0">
            <x v="0"/>
          </reference>
          <reference field="15" count="1" selected="0">
            <x v="0"/>
          </reference>
        </references>
      </pivotArea>
    </chartFormat>
    <chartFormat chart="13" format="9">
      <pivotArea type="data" outline="0" fieldPosition="0">
        <references count="2">
          <reference field="4294967294" count="1" selected="0">
            <x v="0"/>
          </reference>
          <reference field="15"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5" count="1" selected="0">
            <x v="3"/>
          </reference>
        </references>
      </pivotArea>
    </chartFormat>
    <chartFormat chart="14" format="12">
      <pivotArea type="data" outline="0" fieldPosition="0">
        <references count="2">
          <reference field="4294967294" count="1" selected="0">
            <x v="0"/>
          </reference>
          <reference field="15" count="1" selected="0">
            <x v="1"/>
          </reference>
        </references>
      </pivotArea>
    </chartFormat>
    <chartFormat chart="14" format="13">
      <pivotArea type="data" outline="0" fieldPosition="0">
        <references count="2">
          <reference field="4294967294" count="1" selected="0">
            <x v="0"/>
          </reference>
          <reference field="15" count="1" selected="0">
            <x v="0"/>
          </reference>
        </references>
      </pivotArea>
    </chartFormat>
    <chartFormat chart="14" format="14">
      <pivotArea type="data" outline="0" fieldPosition="0">
        <references count="2">
          <reference field="4294967294" count="1" selected="0">
            <x v="0"/>
          </reference>
          <reference field="15"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5" count="1" selected="0">
            <x v="3"/>
          </reference>
        </references>
      </pivotArea>
    </chartFormat>
    <chartFormat chart="15" format="7">
      <pivotArea type="data" outline="0" fieldPosition="0">
        <references count="2">
          <reference field="4294967294" count="1" selected="0">
            <x v="0"/>
          </reference>
          <reference field="15" count="1" selected="0">
            <x v="1"/>
          </reference>
        </references>
      </pivotArea>
    </chartFormat>
    <chartFormat chart="15" format="8">
      <pivotArea type="data" outline="0" fieldPosition="0">
        <references count="2">
          <reference field="4294967294" count="1" selected="0">
            <x v="0"/>
          </reference>
          <reference field="15" count="1" selected="0">
            <x v="0"/>
          </reference>
        </references>
      </pivotArea>
    </chartFormat>
    <chartFormat chart="15" format="9">
      <pivotArea type="data" outline="0" fieldPosition="0">
        <references count="2">
          <reference field="4294967294" count="1" selected="0">
            <x v="0"/>
          </reference>
          <reference field="15" count="1" selected="0">
            <x v="2"/>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5" count="1" selected="0">
            <x v="3"/>
          </reference>
        </references>
      </pivotArea>
    </chartFormat>
    <chartFormat chart="16" format="12">
      <pivotArea type="data" outline="0" fieldPosition="0">
        <references count="2">
          <reference field="4294967294" count="1" selected="0">
            <x v="0"/>
          </reference>
          <reference field="15" count="1" selected="0">
            <x v="1"/>
          </reference>
        </references>
      </pivotArea>
    </chartFormat>
    <chartFormat chart="16" format="13">
      <pivotArea type="data" outline="0" fieldPosition="0">
        <references count="2">
          <reference field="4294967294" count="1" selected="0">
            <x v="0"/>
          </reference>
          <reference field="15" count="1" selected="0">
            <x v="0"/>
          </reference>
        </references>
      </pivotArea>
    </chartFormat>
    <chartFormat chart="16" format="14">
      <pivotArea type="data" outline="0" fieldPosition="0">
        <references count="2">
          <reference field="4294967294" count="1" selected="0">
            <x v="0"/>
          </reference>
          <reference field="15" count="1" selected="0">
            <x v="2"/>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5" count="1" selected="0">
            <x v="3"/>
          </reference>
        </references>
      </pivotArea>
    </chartFormat>
    <chartFormat chart="17" format="12">
      <pivotArea type="data" outline="0" fieldPosition="0">
        <references count="2">
          <reference field="4294967294" count="1" selected="0">
            <x v="0"/>
          </reference>
          <reference field="15" count="1" selected="0">
            <x v="1"/>
          </reference>
        </references>
      </pivotArea>
    </chartFormat>
    <chartFormat chart="17" format="13">
      <pivotArea type="data" outline="0" fieldPosition="0">
        <references count="2">
          <reference field="4294967294" count="1" selected="0">
            <x v="0"/>
          </reference>
          <reference field="15" count="1" selected="0">
            <x v="0"/>
          </reference>
        </references>
      </pivotArea>
    </chartFormat>
    <chartFormat chart="17" format="14">
      <pivotArea type="data" outline="0" fieldPosition="0">
        <references count="2">
          <reference field="4294967294" count="1" selected="0">
            <x v="0"/>
          </reference>
          <reference field="15" count="1" selected="0">
            <x v="2"/>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5" count="1" selected="0">
            <x v="3"/>
          </reference>
        </references>
      </pivotArea>
    </chartFormat>
    <chartFormat chart="22" format="12">
      <pivotArea type="data" outline="0" fieldPosition="0">
        <references count="2">
          <reference field="4294967294" count="1" selected="0">
            <x v="0"/>
          </reference>
          <reference field="15" count="1" selected="0">
            <x v="1"/>
          </reference>
        </references>
      </pivotArea>
    </chartFormat>
    <chartFormat chart="22" format="13">
      <pivotArea type="data" outline="0" fieldPosition="0">
        <references count="2">
          <reference field="4294967294" count="1" selected="0">
            <x v="0"/>
          </reference>
          <reference field="15" count="1" selected="0">
            <x v="0"/>
          </reference>
        </references>
      </pivotArea>
    </chartFormat>
    <chartFormat chart="22" format="14">
      <pivotArea type="data" outline="0" fieldPosition="0">
        <references count="2">
          <reference field="4294967294" count="1" selected="0">
            <x v="0"/>
          </reference>
          <reference field="15" count="1" selected="0">
            <x v="2"/>
          </reference>
        </references>
      </pivotArea>
    </chartFormat>
    <chartFormat chart="30"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15" count="1" selected="0">
            <x v="2"/>
          </reference>
        </references>
      </pivotArea>
    </chartFormat>
    <chartFormat chart="35" format="8">
      <pivotArea type="data" outline="0" fieldPosition="0">
        <references count="2">
          <reference field="4294967294" count="1" selected="0">
            <x v="0"/>
          </reference>
          <reference field="15" count="1" selected="0">
            <x v="0"/>
          </reference>
        </references>
      </pivotArea>
    </chartFormat>
    <chartFormat chart="35" format="9">
      <pivotArea type="data" outline="0" fieldPosition="0">
        <references count="2">
          <reference field="4294967294" count="1" selected="0">
            <x v="0"/>
          </reference>
          <reference field="15" count="1" selected="0">
            <x v="1"/>
          </reference>
        </references>
      </pivotArea>
    </chartFormat>
    <chartFormat chart="35" format="10">
      <pivotArea type="data" outline="0" fieldPosition="0">
        <references count="2">
          <reference field="4294967294" count="1" selected="0">
            <x v="0"/>
          </reference>
          <reference field="15" count="1" selected="0">
            <x v="3"/>
          </reference>
        </references>
      </pivotArea>
    </chartFormat>
    <chartFormat chart="30" format="1">
      <pivotArea type="data" outline="0" fieldPosition="0">
        <references count="2">
          <reference field="4294967294" count="1" selected="0">
            <x v="0"/>
          </reference>
          <reference field="15" count="1" selected="0">
            <x v="2"/>
          </reference>
        </references>
      </pivotArea>
    </chartFormat>
    <chartFormat chart="30" format="2">
      <pivotArea type="data" outline="0" fieldPosition="0">
        <references count="2">
          <reference field="4294967294" count="1" selected="0">
            <x v="0"/>
          </reference>
          <reference field="15" count="1" selected="0">
            <x v="0"/>
          </reference>
        </references>
      </pivotArea>
    </chartFormat>
    <chartFormat chart="30" format="3">
      <pivotArea type="data" outline="0" fieldPosition="0">
        <references count="2">
          <reference field="4294967294" count="1" selected="0">
            <x v="0"/>
          </reference>
          <reference field="15" count="1" selected="0">
            <x v="1"/>
          </reference>
        </references>
      </pivotArea>
    </chartFormat>
    <chartFormat chart="3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10D016-A214-4B05-B5DA-510C014DCE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Spent">
  <location ref="E72:F79" firstHeaderRow="1" firstDataRow="1" firstDataCol="1"/>
  <pivotFields count="18">
    <pivotField showAll="0"/>
    <pivotField showAll="0"/>
    <pivotField showAll="0"/>
    <pivotField showAll="0"/>
    <pivotField numFmtId="1" showAll="0"/>
    <pivotField showAll="0"/>
    <pivotField showAll="0"/>
    <pivotField showAll="0"/>
    <pivotField showAll="0"/>
    <pivotField axis="axisRow" numFmtId="1" showAll="0">
      <items count="7">
        <item x="5"/>
        <item x="4"/>
        <item x="2"/>
        <item x="3"/>
        <item x="0"/>
        <item x="1"/>
        <item t="default"/>
      </items>
    </pivotField>
    <pivotField numFmtId="1" showAll="0"/>
    <pivotField showAll="0"/>
    <pivotField showAll="0"/>
    <pivotField showAll="0"/>
    <pivotField numFmtId="1" showAll="0"/>
    <pivotField showAll="0">
      <items count="6">
        <item x="0"/>
        <item x="1"/>
        <item x="2"/>
        <item x="3"/>
        <item m="1" x="4"/>
        <item t="default"/>
      </items>
    </pivotField>
    <pivotField dataField="1" showAll="0"/>
    <pivotField showAll="0"/>
  </pivotFields>
  <rowFields count="1">
    <field x="9"/>
  </rowFields>
  <rowItems count="7">
    <i>
      <x/>
    </i>
    <i>
      <x v="1"/>
    </i>
    <i>
      <x v="2"/>
    </i>
    <i>
      <x v="3"/>
    </i>
    <i>
      <x v="4"/>
    </i>
    <i>
      <x v="5"/>
    </i>
    <i t="grand">
      <x/>
    </i>
  </rowItems>
  <colItems count="1">
    <i/>
  </colItems>
  <dataFields count="1">
    <dataField name="Average of Performance Grade" fld="16" subtotal="average" baseField="9"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2252CA-F193-488F-B626-49EA883117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ary Band">
  <location ref="A72:B76" firstHeaderRow="1" firstDataRow="1" firstDataCol="1"/>
  <pivotFields count="18">
    <pivotField showAll="0"/>
    <pivotField showAll="0"/>
    <pivotField showAll="0"/>
    <pivotField showAll="0"/>
    <pivotField numFmtId="1" showAll="0"/>
    <pivotField showAll="0"/>
    <pivotField showAll="0"/>
    <pivotField showAll="0"/>
    <pivotField showAll="0"/>
    <pivotField numFmtId="1" showAll="0"/>
    <pivotField numFmtId="1" showAll="0"/>
    <pivotField showAll="0"/>
    <pivotField axis="axisRow" showAll="0">
      <items count="5">
        <item x="2"/>
        <item x="0"/>
        <item x="1"/>
        <item m="1" x="3"/>
        <item t="default"/>
      </items>
    </pivotField>
    <pivotField showAll="0"/>
    <pivotField numFmtId="1" showAll="0"/>
    <pivotField showAll="0"/>
    <pivotField dataField="1" showAll="0"/>
    <pivotField showAll="0"/>
  </pivotFields>
  <rowFields count="1">
    <field x="12"/>
  </rowFields>
  <rowItems count="4">
    <i>
      <x/>
    </i>
    <i>
      <x v="1"/>
    </i>
    <i>
      <x v="2"/>
    </i>
    <i t="grand">
      <x/>
    </i>
  </rowItems>
  <colItems count="1">
    <i/>
  </colItems>
  <dataFields count="1">
    <dataField name="Average of Performance Grade" fld="16" subtotal="average" baseField="12"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52F8A4-41FD-4819-8C63-318C44D597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nt">
  <location ref="A1:B8" firstHeaderRow="1" firstDataRow="1" firstDataCol="1"/>
  <pivotFields count="18">
    <pivotField dataField="1" showAll="0"/>
    <pivotField showAll="0"/>
    <pivotField showAll="0"/>
    <pivotField showAll="0"/>
    <pivotField numFmtId="1" showAll="0"/>
    <pivotField axis="axisRow" showAll="0" sortType="descending">
      <items count="8">
        <item x="2"/>
        <item x="3"/>
        <item x="0"/>
        <item x="1"/>
        <item x="5"/>
        <item x="4"/>
        <item m="1" x="6"/>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showAll="0"/>
    <pivotField showAll="0"/>
    <pivotField showAll="0"/>
    <pivotField numFmtId="1" showAll="0"/>
    <pivotField showAll="0"/>
    <pivotField showAll="0"/>
    <pivotField showAll="0"/>
  </pivotFields>
  <rowFields count="1">
    <field x="5"/>
  </rowFields>
  <rowItems count="7">
    <i>
      <x v="2"/>
    </i>
    <i>
      <x v="5"/>
    </i>
    <i>
      <x v="4"/>
    </i>
    <i>
      <x v="3"/>
    </i>
    <i>
      <x/>
    </i>
    <i>
      <x v="1"/>
    </i>
    <i t="grand">
      <x/>
    </i>
  </rowItems>
  <colItems count="1">
    <i/>
  </colItems>
  <dataFields count="1">
    <dataField name="Count of Employe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5251C1-6454-45A3-866F-DBBFF34614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tatus">
  <location ref="A12:B16" firstHeaderRow="1" firstDataRow="1" firstDataCol="1"/>
  <pivotFields count="18">
    <pivotField dataField="1" showAll="0"/>
    <pivotField showAll="0"/>
    <pivotField showAll="0"/>
    <pivotField showAll="0"/>
    <pivotField numFmtId="1" showAll="0"/>
    <pivotField showAll="0"/>
    <pivotField showAll="0"/>
    <pivotField axis="axisRow" showAll="0" sortType="ascending">
      <items count="5">
        <item x="0"/>
        <item x="2"/>
        <item x="1"/>
        <item m="1" x="3"/>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showAll="0"/>
    <pivotField showAll="0"/>
    <pivotField showAll="0"/>
    <pivotField numFmtId="1" showAll="0"/>
    <pivotField showAll="0"/>
    <pivotField showAll="0"/>
    <pivotField showAll="0"/>
  </pivotFields>
  <rowFields count="1">
    <field x="7"/>
  </rowFields>
  <rowItems count="4">
    <i>
      <x v="1"/>
    </i>
    <i>
      <x/>
    </i>
    <i>
      <x v="2"/>
    </i>
    <i t="grand">
      <x/>
    </i>
  </rowItems>
  <colItems count="1">
    <i/>
  </colItems>
  <dataFields count="1">
    <dataField name="Count of Employee_ID" fld="0" subtotal="count" baseField="7"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C94D30-D8FC-493D-B910-886518840A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erformance Grade">
  <location ref="E62:F67" firstHeaderRow="1" firstDataRow="1" firstDataCol="1"/>
  <pivotFields count="18">
    <pivotField showAll="0"/>
    <pivotField showAll="0"/>
    <pivotField showAll="0"/>
    <pivotField showAll="0"/>
    <pivotField numFmtId="1" showAll="0"/>
    <pivotField showAll="0"/>
    <pivotField showAll="0"/>
    <pivotField showAll="0"/>
    <pivotField showAll="0"/>
    <pivotField numFmtId="1" showAll="0"/>
    <pivotField numFmtId="1" showAll="0"/>
    <pivotField dataField="1" showAll="0"/>
    <pivotField showAll="0"/>
    <pivotField showAll="0"/>
    <pivotField numFmtId="1"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5">
    <i>
      <x/>
    </i>
    <i>
      <x v="2"/>
    </i>
    <i>
      <x v="1"/>
    </i>
    <i>
      <x v="3"/>
    </i>
    <i t="grand">
      <x/>
    </i>
  </rowItems>
  <colItems count="1">
    <i/>
  </colItems>
  <dataFields count="1">
    <dataField name="Average of Salary" fld="11" subtotal="average" baseField="16"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3015E54-E0A8-4DA7-9087-3DEF68751192}" sourceName="Department">
  <data>
    <tabular pivotCacheId="690320742">
      <items count="7">
        <i x="2" s="1"/>
        <i x="3" s="1"/>
        <i x="0" s="1"/>
        <i x="1"/>
        <i x="5"/>
        <i x="4"/>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472563-56A7-47A6-9881-911AFC16AD89}" sourceName="Region">
  <data>
    <tabular pivotCacheId="690320742">
      <items count="7">
        <i x="0"/>
        <i x="3"/>
        <i x="5"/>
        <i x="2"/>
        <i x="4"/>
        <i x="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633B205-4EF7-4E6F-913C-37D71F1E978E}" sourceName="Status">
  <data>
    <tabular pivotCacheId="690320742">
      <items count="4">
        <i x="0"/>
        <i x="2" s="1"/>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1ABA4AA5-31F1-4BDB-A527-5719A64928B7}" sourceName="Salary Band">
  <data>
    <tabular pivotCacheId="690320742">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DAAD786-BC7A-4510-8802-8C457963B2CB}" cache="Slicer_Department" caption="Department" style="Slicer Style 1" rowHeight="241300"/>
  <slicer name="Region" xr10:uid="{182FCF1A-6C25-49EA-BC21-76BF27ACFF07}" cache="Slicer_Region" caption="Region" style="Slicer Style 1" rowHeight="241300"/>
  <slicer name="Status" xr10:uid="{85E891A3-382D-49E8-917B-C5CD366CEE96}" cache="Slicer_Status" caption="Status" style="Slicer Style 1" rowHeight="241300"/>
  <slicer name="Salary Band" xr10:uid="{AF453C33-8E10-44BD-AC85-572049756FC3}" cache="Slicer_Salary_Band" caption="Salary Ban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6E2CB1F-778C-4E6B-BABC-149E080778AE}" cache="Slicer_Department" caption="Department" style="Slicer Style 1" rowHeight="241300"/>
  <slicer name="Region 1" xr10:uid="{BAD136C5-D3BC-4222-A05B-572B20075E67}" cache="Slicer_Region" caption="Region" style="Slicer Style 1" rowHeight="241300"/>
  <slicer name="Status 1" xr10:uid="{7253B29B-6913-4E3A-838E-B09116F26981}" cache="Slicer_Status" caption="Status" style="Slicer Style 1" rowHeight="241300"/>
  <slicer name="Salary Band 1" xr10:uid="{F83B9F1D-6340-4E05-A829-9860A3C99B0F}" cache="Slicer_Salary_Band" caption="Salary Ban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8D77D3-8E59-4A3E-A9D2-63DE85822FAC}" name="Table1" displayName="Table1" ref="A1:R1021" totalsRowShown="0" headerRowDxfId="22">
  <autoFilter ref="A1:R1021" xr:uid="{E18D77D3-8E59-4A3E-A9D2-63DE85822FAC}"/>
  <tableColumns count="18">
    <tableColumn id="1" xr3:uid="{CE7B45D8-7369-4128-8EF3-850CF93787FC}" name="Employee_ID"/>
    <tableColumn id="2" xr3:uid="{722B5CD5-7AC5-4A92-8150-19C0194E79E6}" name="First_Name"/>
    <tableColumn id="3" xr3:uid="{A1AD3E49-F950-4E04-8FB1-E4AC4F87C0C1}" name="Last_Name"/>
    <tableColumn id="4" xr3:uid="{5E88BAA7-083C-47AC-A1B5-56884F8001C0}" name="Full Name"/>
    <tableColumn id="5" xr3:uid="{3EEE869D-3BF9-43CE-A62E-971BCE646122}" name="Age" dataDxfId="21"/>
    <tableColumn id="6" xr3:uid="{A9D59E95-909B-4454-B31D-042A6E11F281}" name="Department"/>
    <tableColumn id="7" xr3:uid="{A9F71E3E-F777-46C3-B9F4-154EA226D0D9}" name="Region"/>
    <tableColumn id="8" xr3:uid="{27AD66A5-CDA8-4ECD-8493-02A9E7B38933}" name="Status"/>
    <tableColumn id="9" xr3:uid="{8A8C40ED-9609-4EF4-8BB9-B54D45FC222E}" name="Join_date" dataDxfId="20"/>
    <tableColumn id="10" xr3:uid="{B15D0499-CFD9-4231-A1DB-3EF3F4C11D15}" name="Years Spent" dataDxfId="19"/>
    <tableColumn id="11" xr3:uid="{6BFB4FBB-D731-4D04-A35B-9B689D118104}" name="Year" dataDxfId="18"/>
    <tableColumn id="12" xr3:uid="{8C85683B-7AA1-4237-A57C-436B2D965480}" name="Salary" dataDxfId="17"/>
    <tableColumn id="13" xr3:uid="{DEE5AE32-78D2-48AE-814C-E687B93192EB}" name="Salary Band" dataDxfId="16"/>
    <tableColumn id="14" xr3:uid="{94F8B943-5480-4558-ACDF-D1AECB28E9F1}" name="Email" dataCellStyle="Hyperlink"/>
    <tableColumn id="15" xr3:uid="{4E52BD57-2476-4CC8-A381-F12D5DD123FD}" name="Phone" dataDxfId="15"/>
    <tableColumn id="16" xr3:uid="{B78F121C-487F-4FB3-8856-C65C335B0519}" name="Performance score"/>
    <tableColumn id="20" xr3:uid="{FB0C0FB7-3883-4DA7-9AA5-BF9CCF0E1105}" name="Performance Grade"/>
    <tableColumn id="17" xr3:uid="{B19C52B3-2A79-4CDC-BB36-D2374689B661}" name="Remote_Work"/>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81E5C8-625B-48B0-9B28-6AE105C64E48}" name="Table2" displayName="Table2" ref="T1:Y2" totalsRowShown="0" headerRowDxfId="14">
  <autoFilter ref="T1:Y2" xr:uid="{C681E5C8-625B-48B0-9B28-6AE105C64E48}"/>
  <tableColumns count="6">
    <tableColumn id="1" xr3:uid="{D949F01F-9D5F-4425-8142-2A47B079B3E3}" name="Total Employees">
      <calculatedColumnFormula>COUNTA(A2:A1021)</calculatedColumnFormula>
    </tableColumn>
    <tableColumn id="2" xr3:uid="{60E4803A-2D70-4BB5-A553-C75971C26C04}" name="Active Employees">
      <calculatedColumnFormula>COUNTIF(H2:H1021, "Active")</calculatedColumnFormula>
    </tableColumn>
    <tableColumn id="3" xr3:uid="{45CD21EB-42D9-437E-BE27-1636ADE90BD8}" name="Inactive Employees">
      <calculatedColumnFormula>COUNTIF(H2:H1021, "Inactive")</calculatedColumnFormula>
    </tableColumn>
    <tableColumn id="4" xr3:uid="{60BB3D67-A672-4033-881D-C2FEDDA0A14C}" name="Pending Employees">
      <calculatedColumnFormula>COUNTIF(H2:H1021, "Pending")</calculatedColumnFormula>
    </tableColumn>
    <tableColumn id="5" xr3:uid="{91F55664-19C4-4852-A47F-3D810BBC8763}" name="Average Salary" dataDxfId="13">
      <calculatedColumnFormula>AVERAGE(L2:L1021)</calculatedColumnFormula>
    </tableColumn>
    <tableColumn id="6" xr3:uid="{A89EA663-AFDF-4849-825A-9020151E0BF1}" name="Total Salary Spend" dataDxfId="12">
      <calculatedColumnFormula>SUM(L2:L1021)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Bob.Davis@Example.Com" TargetMode="Externa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81A2-496C-4D5E-85BE-81260C485B27}">
  <dimension ref="A1:AA1021"/>
  <sheetViews>
    <sheetView topLeftCell="S1" zoomScaleNormal="100" workbookViewId="0">
      <selection activeCell="E3" sqref="E3"/>
    </sheetView>
  </sheetViews>
  <sheetFormatPr defaultRowHeight="14.5" x14ac:dyDescent="0.35"/>
  <cols>
    <col min="1" max="1" width="16.453125" customWidth="1"/>
    <col min="2" max="2" width="15.36328125" customWidth="1"/>
    <col min="3" max="3" width="15.08984375" customWidth="1"/>
    <col min="4" max="4" width="14.90625" customWidth="1"/>
    <col min="5" max="5" width="8.7265625" style="3" customWidth="1"/>
    <col min="6" max="6" width="17.1796875" customWidth="1"/>
    <col min="7" max="7" width="16.26953125" customWidth="1"/>
    <col min="8" max="8" width="11.7265625" customWidth="1"/>
    <col min="9" max="9" width="16.453125" style="1" customWidth="1"/>
    <col min="10" max="10" width="15.26953125" style="7" customWidth="1"/>
    <col min="11" max="11" width="13.90625" style="7" customWidth="1"/>
    <col min="12" max="12" width="13.1796875" style="3" customWidth="1"/>
    <col min="13" max="13" width="14.6328125" style="9" customWidth="1"/>
    <col min="14" max="14" width="27.90625" style="2" customWidth="1"/>
    <col min="15" max="15" width="14.453125" style="3" customWidth="1"/>
    <col min="16" max="17" width="20.81640625" customWidth="1"/>
    <col min="18" max="18" width="18.08984375" customWidth="1"/>
    <col min="20" max="20" width="19.36328125" customWidth="1"/>
    <col min="21" max="21" width="19.26953125" customWidth="1"/>
    <col min="22" max="22" width="21.7265625" customWidth="1"/>
    <col min="23" max="23" width="21.1796875" customWidth="1"/>
    <col min="24" max="24" width="18" customWidth="1"/>
    <col min="25" max="25" width="20.08984375" customWidth="1"/>
    <col min="27" max="27" width="13.6328125" style="9" bestFit="1" customWidth="1"/>
  </cols>
  <sheetData>
    <row r="1" spans="1:27" x14ac:dyDescent="0.35">
      <c r="A1" s="4" t="s">
        <v>0</v>
      </c>
      <c r="B1" s="4" t="s">
        <v>1</v>
      </c>
      <c r="C1" s="4" t="s">
        <v>2</v>
      </c>
      <c r="D1" s="4" t="s">
        <v>1956</v>
      </c>
      <c r="E1" s="5" t="s">
        <v>1811</v>
      </c>
      <c r="F1" s="4" t="s">
        <v>1825</v>
      </c>
      <c r="G1" s="4" t="s">
        <v>1826</v>
      </c>
      <c r="H1" s="4" t="s">
        <v>3</v>
      </c>
      <c r="I1" s="6" t="s">
        <v>1812</v>
      </c>
      <c r="J1" s="5" t="s">
        <v>1957</v>
      </c>
      <c r="K1" s="5" t="s">
        <v>1974</v>
      </c>
      <c r="L1" s="5" t="s">
        <v>4</v>
      </c>
      <c r="M1" s="13" t="s">
        <v>1961</v>
      </c>
      <c r="N1" s="4" t="s">
        <v>5</v>
      </c>
      <c r="O1" s="5" t="s">
        <v>6</v>
      </c>
      <c r="P1" s="4" t="s">
        <v>1891</v>
      </c>
      <c r="Q1" s="4" t="s">
        <v>1976</v>
      </c>
      <c r="R1" s="4" t="s">
        <v>7</v>
      </c>
      <c r="T1" s="4" t="s">
        <v>1970</v>
      </c>
      <c r="U1" s="4" t="s">
        <v>1971</v>
      </c>
      <c r="V1" s="4" t="s">
        <v>1972</v>
      </c>
      <c r="W1" s="4" t="s">
        <v>1973</v>
      </c>
      <c r="X1" s="4" t="s">
        <v>1968</v>
      </c>
      <c r="Y1" s="4" t="s">
        <v>1969</v>
      </c>
      <c r="AA1" s="13"/>
    </row>
    <row r="2" spans="1:27" x14ac:dyDescent="0.35">
      <c r="A2" t="s">
        <v>8</v>
      </c>
      <c r="B2" t="s">
        <v>9</v>
      </c>
      <c r="C2" t="s">
        <v>10</v>
      </c>
      <c r="D2" t="s">
        <v>1892</v>
      </c>
      <c r="E2" s="3">
        <v>25</v>
      </c>
      <c r="F2" t="s">
        <v>1813</v>
      </c>
      <c r="G2" t="s">
        <v>1814</v>
      </c>
      <c r="H2" t="s">
        <v>11</v>
      </c>
      <c r="I2" s="1" t="s">
        <v>1051</v>
      </c>
      <c r="J2" s="7">
        <v>4</v>
      </c>
      <c r="K2" s="7">
        <v>2021</v>
      </c>
      <c r="L2" s="3">
        <v>59767.65</v>
      </c>
      <c r="M2" s="9" t="s">
        <v>1958</v>
      </c>
      <c r="N2" s="2" t="s">
        <v>1827</v>
      </c>
      <c r="O2" s="3">
        <v>1651623197</v>
      </c>
      <c r="P2" t="s">
        <v>12</v>
      </c>
      <c r="Q2">
        <v>2</v>
      </c>
      <c r="R2" t="s">
        <v>1962</v>
      </c>
      <c r="T2">
        <f>COUNTA(A2:A1021)</f>
        <v>1020</v>
      </c>
      <c r="U2">
        <f>COUNTIF(H2:H1021, "Active")</f>
        <v>352</v>
      </c>
      <c r="V2">
        <f>COUNTIF(H2:H1021, "Inactive")</f>
        <v>312</v>
      </c>
      <c r="W2">
        <f>COUNTIF(H2:H1021, "Pending")</f>
        <v>356</v>
      </c>
      <c r="X2" s="12">
        <f>AVERAGE(L2:L1021)</f>
        <v>83151.408009803883</v>
      </c>
      <c r="Y2" s="12">
        <f>SUM(L2:L1021)</f>
        <v>84814436.169999957</v>
      </c>
    </row>
    <row r="3" spans="1:27" x14ac:dyDescent="0.35">
      <c r="A3" t="s">
        <v>13</v>
      </c>
      <c r="B3" t="s">
        <v>9</v>
      </c>
      <c r="C3" t="s">
        <v>14</v>
      </c>
      <c r="D3" t="s">
        <v>1893</v>
      </c>
      <c r="E3" s="3">
        <v>30</v>
      </c>
      <c r="F3" t="s">
        <v>1815</v>
      </c>
      <c r="G3" t="s">
        <v>1816</v>
      </c>
      <c r="H3" t="s">
        <v>11</v>
      </c>
      <c r="I3" s="1" t="s">
        <v>1052</v>
      </c>
      <c r="J3" s="7">
        <v>5</v>
      </c>
      <c r="K3" s="7">
        <v>2020</v>
      </c>
      <c r="L3" s="3">
        <v>65304.66</v>
      </c>
      <c r="M3" s="9" t="s">
        <v>1959</v>
      </c>
      <c r="N3" s="2" t="s">
        <v>1828</v>
      </c>
      <c r="O3" s="3">
        <v>1898471390</v>
      </c>
      <c r="P3" t="s">
        <v>15</v>
      </c>
      <c r="Q3">
        <v>4</v>
      </c>
      <c r="R3" t="s">
        <v>1962</v>
      </c>
    </row>
    <row r="4" spans="1:27" x14ac:dyDescent="0.35">
      <c r="A4" t="s">
        <v>16</v>
      </c>
      <c r="B4" t="s">
        <v>17</v>
      </c>
      <c r="C4" t="s">
        <v>18</v>
      </c>
      <c r="D4" t="s">
        <v>1894</v>
      </c>
      <c r="E4" s="3">
        <v>30</v>
      </c>
      <c r="F4" t="s">
        <v>1817</v>
      </c>
      <c r="G4" t="s">
        <v>1818</v>
      </c>
      <c r="H4" t="s">
        <v>19</v>
      </c>
      <c r="I4" s="1" t="s">
        <v>1053</v>
      </c>
      <c r="J4" s="7">
        <v>2</v>
      </c>
      <c r="K4" s="7">
        <v>2023</v>
      </c>
      <c r="L4" s="3">
        <v>88145.9</v>
      </c>
      <c r="M4" s="9" t="s">
        <v>1960</v>
      </c>
      <c r="N4" s="2" t="s">
        <v>1829</v>
      </c>
      <c r="O4" s="3">
        <v>5596363211</v>
      </c>
      <c r="P4" t="s">
        <v>20</v>
      </c>
      <c r="Q4">
        <v>3</v>
      </c>
      <c r="R4" t="s">
        <v>1962</v>
      </c>
    </row>
    <row r="5" spans="1:27" x14ac:dyDescent="0.35">
      <c r="A5" t="s">
        <v>21</v>
      </c>
      <c r="B5" t="s">
        <v>22</v>
      </c>
      <c r="C5" t="s">
        <v>10</v>
      </c>
      <c r="D5" t="s">
        <v>1895</v>
      </c>
      <c r="E5" s="3">
        <v>25</v>
      </c>
      <c r="F5" t="s">
        <v>1817</v>
      </c>
      <c r="G5" t="s">
        <v>1818</v>
      </c>
      <c r="H5" t="s">
        <v>23</v>
      </c>
      <c r="I5" s="1" t="s">
        <v>1054</v>
      </c>
      <c r="J5" s="7">
        <v>3</v>
      </c>
      <c r="K5" s="7">
        <v>2021</v>
      </c>
      <c r="L5" s="3">
        <v>69450.990000000005</v>
      </c>
      <c r="M5" s="9" t="s">
        <v>1959</v>
      </c>
      <c r="N5" s="2" t="s">
        <v>1830</v>
      </c>
      <c r="O5" s="3">
        <v>3476490784</v>
      </c>
      <c r="P5" t="s">
        <v>20</v>
      </c>
      <c r="Q5">
        <v>3</v>
      </c>
      <c r="R5" t="s">
        <v>1962</v>
      </c>
    </row>
    <row r="6" spans="1:27" x14ac:dyDescent="0.35">
      <c r="A6" t="s">
        <v>24</v>
      </c>
      <c r="B6" t="s">
        <v>25</v>
      </c>
      <c r="C6" t="s">
        <v>26</v>
      </c>
      <c r="D6" t="s">
        <v>1896</v>
      </c>
      <c r="E6" s="3">
        <v>25</v>
      </c>
      <c r="F6" t="s">
        <v>1819</v>
      </c>
      <c r="G6" t="s">
        <v>1820</v>
      </c>
      <c r="H6" t="s">
        <v>11</v>
      </c>
      <c r="I6" s="1" t="s">
        <v>1055</v>
      </c>
      <c r="J6" s="7">
        <v>3</v>
      </c>
      <c r="K6" s="7">
        <v>2022</v>
      </c>
      <c r="L6" s="3">
        <v>109324.61</v>
      </c>
      <c r="M6" s="9" t="s">
        <v>1960</v>
      </c>
      <c r="N6" s="2" t="s">
        <v>1831</v>
      </c>
      <c r="O6" s="3">
        <v>1586734256</v>
      </c>
      <c r="P6" t="s">
        <v>27</v>
      </c>
      <c r="Q6">
        <v>1</v>
      </c>
      <c r="R6" t="s">
        <v>1963</v>
      </c>
    </row>
    <row r="7" spans="1:27" x14ac:dyDescent="0.35">
      <c r="A7" t="s">
        <v>28</v>
      </c>
      <c r="B7" t="s">
        <v>17</v>
      </c>
      <c r="C7" t="s">
        <v>29</v>
      </c>
      <c r="D7" t="s">
        <v>1897</v>
      </c>
      <c r="E7" s="3">
        <v>40</v>
      </c>
      <c r="F7" t="s">
        <v>1821</v>
      </c>
      <c r="G7" t="s">
        <v>1816</v>
      </c>
      <c r="H7" t="s">
        <v>23</v>
      </c>
      <c r="I7" s="1" t="s">
        <v>1056</v>
      </c>
      <c r="J7" s="7">
        <v>5</v>
      </c>
      <c r="K7" s="7">
        <v>2020</v>
      </c>
      <c r="L7" s="3">
        <v>88642.84</v>
      </c>
      <c r="M7" s="9" t="s">
        <v>1960</v>
      </c>
      <c r="N7" s="2" t="s">
        <v>1832</v>
      </c>
      <c r="O7" s="3">
        <v>5409003485</v>
      </c>
      <c r="P7" t="s">
        <v>20</v>
      </c>
      <c r="Q7">
        <v>3</v>
      </c>
      <c r="R7" t="s">
        <v>1963</v>
      </c>
      <c r="Y7" s="12"/>
    </row>
    <row r="8" spans="1:27" x14ac:dyDescent="0.35">
      <c r="A8" t="s">
        <v>30</v>
      </c>
      <c r="B8" t="s">
        <v>25</v>
      </c>
      <c r="C8" t="s">
        <v>18</v>
      </c>
      <c r="D8" t="s">
        <v>1898</v>
      </c>
      <c r="E8" s="3">
        <v>30</v>
      </c>
      <c r="F8" t="s">
        <v>1817</v>
      </c>
      <c r="G8" t="s">
        <v>1818</v>
      </c>
      <c r="H8" t="s">
        <v>11</v>
      </c>
      <c r="I8" s="1" t="s">
        <v>1057</v>
      </c>
      <c r="J8" s="7">
        <v>5</v>
      </c>
      <c r="K8" s="7">
        <v>2020</v>
      </c>
      <c r="L8" s="3">
        <v>96288.43</v>
      </c>
      <c r="M8" s="9" t="s">
        <v>1960</v>
      </c>
      <c r="N8" s="2" t="s">
        <v>1833</v>
      </c>
      <c r="O8" s="3">
        <v>4518376063</v>
      </c>
      <c r="P8" t="s">
        <v>20</v>
      </c>
      <c r="Q8">
        <v>3</v>
      </c>
      <c r="R8" t="s">
        <v>1963</v>
      </c>
    </row>
    <row r="9" spans="1:27" x14ac:dyDescent="0.35">
      <c r="A9" t="s">
        <v>31</v>
      </c>
      <c r="B9" t="s">
        <v>9</v>
      </c>
      <c r="C9" t="s">
        <v>18</v>
      </c>
      <c r="D9" t="s">
        <v>1899</v>
      </c>
      <c r="E9" s="3">
        <v>30</v>
      </c>
      <c r="F9" t="s">
        <v>1819</v>
      </c>
      <c r="G9" t="s">
        <v>1820</v>
      </c>
      <c r="H9" t="s">
        <v>23</v>
      </c>
      <c r="I9" s="1" t="s">
        <v>1058</v>
      </c>
      <c r="J9" s="7">
        <v>3</v>
      </c>
      <c r="K9" s="7">
        <v>2022</v>
      </c>
      <c r="L9" s="3">
        <v>94497.91</v>
      </c>
      <c r="M9" s="9" t="s">
        <v>1960</v>
      </c>
      <c r="N9" s="2" t="s">
        <v>1834</v>
      </c>
      <c r="O9" s="3">
        <v>4134327559</v>
      </c>
      <c r="P9" t="s">
        <v>12</v>
      </c>
      <c r="Q9">
        <v>2</v>
      </c>
      <c r="R9" t="s">
        <v>1962</v>
      </c>
    </row>
    <row r="10" spans="1:27" x14ac:dyDescent="0.35">
      <c r="A10" t="s">
        <v>32</v>
      </c>
      <c r="B10" t="s">
        <v>25</v>
      </c>
      <c r="C10" t="s">
        <v>10</v>
      </c>
      <c r="D10" t="s">
        <v>1900</v>
      </c>
      <c r="E10" s="3">
        <v>35</v>
      </c>
      <c r="F10" t="s">
        <v>1817</v>
      </c>
      <c r="G10" t="s">
        <v>1818</v>
      </c>
      <c r="H10" t="s">
        <v>23</v>
      </c>
      <c r="I10" s="1" t="s">
        <v>1059</v>
      </c>
      <c r="J10" s="7">
        <v>2</v>
      </c>
      <c r="K10" s="7">
        <v>2023</v>
      </c>
      <c r="L10" s="3">
        <v>115565.82</v>
      </c>
      <c r="M10" s="9" t="s">
        <v>1960</v>
      </c>
      <c r="N10" s="2" t="s">
        <v>1835</v>
      </c>
      <c r="O10" s="3">
        <v>4177656123</v>
      </c>
      <c r="P10" t="s">
        <v>15</v>
      </c>
      <c r="Q10">
        <v>4</v>
      </c>
      <c r="R10" t="s">
        <v>1962</v>
      </c>
    </row>
    <row r="11" spans="1:27" x14ac:dyDescent="0.35">
      <c r="A11" t="s">
        <v>33</v>
      </c>
      <c r="B11" t="s">
        <v>34</v>
      </c>
      <c r="C11" t="s">
        <v>35</v>
      </c>
      <c r="D11" t="s">
        <v>1901</v>
      </c>
      <c r="E11" s="3">
        <v>30</v>
      </c>
      <c r="F11" t="s">
        <v>1813</v>
      </c>
      <c r="G11" t="s">
        <v>1822</v>
      </c>
      <c r="H11" t="s">
        <v>11</v>
      </c>
      <c r="I11" s="1" t="s">
        <v>1060</v>
      </c>
      <c r="J11" s="7">
        <v>3</v>
      </c>
      <c r="K11" s="7">
        <v>2022</v>
      </c>
      <c r="L11" s="3">
        <v>76561.88</v>
      </c>
      <c r="M11" s="9" t="s">
        <v>1959</v>
      </c>
      <c r="N11" s="2" t="s">
        <v>1836</v>
      </c>
      <c r="O11" s="3">
        <v>8156985699</v>
      </c>
      <c r="P11" t="s">
        <v>15</v>
      </c>
      <c r="Q11">
        <v>4</v>
      </c>
      <c r="R11" t="s">
        <v>1962</v>
      </c>
    </row>
    <row r="12" spans="1:27" x14ac:dyDescent="0.35">
      <c r="A12" t="s">
        <v>36</v>
      </c>
      <c r="B12" t="s">
        <v>37</v>
      </c>
      <c r="C12" t="s">
        <v>26</v>
      </c>
      <c r="D12" t="s">
        <v>1902</v>
      </c>
      <c r="E12" s="3">
        <v>35</v>
      </c>
      <c r="F12" t="s">
        <v>1819</v>
      </c>
      <c r="G12" t="s">
        <v>1822</v>
      </c>
      <c r="H12" t="s">
        <v>11</v>
      </c>
      <c r="I12" s="1" t="s">
        <v>1061</v>
      </c>
      <c r="J12" s="7">
        <v>1</v>
      </c>
      <c r="K12" s="7">
        <v>2024</v>
      </c>
      <c r="L12" s="3">
        <v>72081.710000000006</v>
      </c>
      <c r="M12" s="9" t="s">
        <v>1959</v>
      </c>
      <c r="N12" s="2" t="s">
        <v>1837</v>
      </c>
      <c r="O12" s="3">
        <v>2720634590</v>
      </c>
      <c r="P12" t="s">
        <v>12</v>
      </c>
      <c r="Q12">
        <v>2</v>
      </c>
      <c r="R12" t="s">
        <v>1963</v>
      </c>
    </row>
    <row r="13" spans="1:27" x14ac:dyDescent="0.35">
      <c r="A13" t="s">
        <v>38</v>
      </c>
      <c r="B13" t="s">
        <v>37</v>
      </c>
      <c r="C13" t="s">
        <v>10</v>
      </c>
      <c r="D13" t="s">
        <v>1903</v>
      </c>
      <c r="E13" s="3">
        <v>30</v>
      </c>
      <c r="F13" t="s">
        <v>1813</v>
      </c>
      <c r="G13" t="s">
        <v>1814</v>
      </c>
      <c r="H13" t="s">
        <v>11</v>
      </c>
      <c r="I13" s="1" t="s">
        <v>1062</v>
      </c>
      <c r="J13" s="7">
        <v>2</v>
      </c>
      <c r="K13" s="7">
        <v>2023</v>
      </c>
      <c r="L13" s="3">
        <v>84946.19</v>
      </c>
      <c r="M13" s="9" t="s">
        <v>1959</v>
      </c>
      <c r="N13" s="2" t="s">
        <v>1838</v>
      </c>
      <c r="O13" s="3">
        <v>1238296576</v>
      </c>
      <c r="P13" t="s">
        <v>27</v>
      </c>
      <c r="Q13">
        <v>1</v>
      </c>
      <c r="R13" t="s">
        <v>1962</v>
      </c>
    </row>
    <row r="14" spans="1:27" x14ac:dyDescent="0.35">
      <c r="A14" t="s">
        <v>39</v>
      </c>
      <c r="B14" t="s">
        <v>40</v>
      </c>
      <c r="C14" t="s">
        <v>26</v>
      </c>
      <c r="D14" t="s">
        <v>1904</v>
      </c>
      <c r="E14" s="3">
        <v>30</v>
      </c>
      <c r="F14" t="s">
        <v>1823</v>
      </c>
      <c r="G14" t="s">
        <v>1822</v>
      </c>
      <c r="H14" t="s">
        <v>11</v>
      </c>
      <c r="I14" s="1" t="s">
        <v>1063</v>
      </c>
      <c r="J14" s="7">
        <v>1</v>
      </c>
      <c r="K14" s="7">
        <v>2024</v>
      </c>
      <c r="L14" s="3">
        <v>89295.77</v>
      </c>
      <c r="M14" s="9" t="s">
        <v>1960</v>
      </c>
      <c r="N14" s="2" t="s">
        <v>1839</v>
      </c>
      <c r="O14" s="3">
        <v>2429543164</v>
      </c>
      <c r="P14" t="s">
        <v>15</v>
      </c>
      <c r="Q14">
        <v>4</v>
      </c>
      <c r="R14" t="s">
        <v>1963</v>
      </c>
    </row>
    <row r="15" spans="1:27" x14ac:dyDescent="0.35">
      <c r="A15" t="s">
        <v>41</v>
      </c>
      <c r="B15" t="s">
        <v>42</v>
      </c>
      <c r="C15" t="s">
        <v>26</v>
      </c>
      <c r="D15" t="s">
        <v>1905</v>
      </c>
      <c r="E15" s="3">
        <v>30</v>
      </c>
      <c r="F15" t="s">
        <v>1815</v>
      </c>
      <c r="G15" t="s">
        <v>1814</v>
      </c>
      <c r="H15" t="s">
        <v>11</v>
      </c>
      <c r="I15" s="1" t="s">
        <v>1064</v>
      </c>
      <c r="J15" s="7">
        <v>5</v>
      </c>
      <c r="K15" s="7">
        <v>2020</v>
      </c>
      <c r="L15" s="3">
        <v>85666.84</v>
      </c>
      <c r="M15" s="9" t="s">
        <v>1960</v>
      </c>
      <c r="N15" s="2" t="s">
        <v>1840</v>
      </c>
      <c r="O15" s="3">
        <v>2669300892</v>
      </c>
      <c r="P15" t="s">
        <v>20</v>
      </c>
      <c r="Q15">
        <v>3</v>
      </c>
      <c r="R15" t="s">
        <v>1963</v>
      </c>
    </row>
    <row r="16" spans="1:27" x14ac:dyDescent="0.35">
      <c r="A16" t="s">
        <v>43</v>
      </c>
      <c r="B16" t="s">
        <v>17</v>
      </c>
      <c r="C16" t="s">
        <v>29</v>
      </c>
      <c r="D16" t="s">
        <v>1897</v>
      </c>
      <c r="E16" s="3">
        <v>25</v>
      </c>
      <c r="F16" t="s">
        <v>1817</v>
      </c>
      <c r="G16" t="s">
        <v>1818</v>
      </c>
      <c r="H16" t="s">
        <v>11</v>
      </c>
      <c r="I16" s="1" t="s">
        <v>1065</v>
      </c>
      <c r="J16" s="7">
        <v>1</v>
      </c>
      <c r="K16" s="7">
        <v>2024</v>
      </c>
      <c r="L16" s="3">
        <v>97633.68</v>
      </c>
      <c r="M16" s="9" t="s">
        <v>1960</v>
      </c>
      <c r="N16" s="2" t="s">
        <v>1832</v>
      </c>
      <c r="O16" s="3">
        <v>1734206968</v>
      </c>
      <c r="P16" t="s">
        <v>15</v>
      </c>
      <c r="Q16">
        <v>4</v>
      </c>
      <c r="R16" t="s">
        <v>1962</v>
      </c>
    </row>
    <row r="17" spans="1:18" x14ac:dyDescent="0.35">
      <c r="A17" t="s">
        <v>44</v>
      </c>
      <c r="B17" t="s">
        <v>42</v>
      </c>
      <c r="C17" t="s">
        <v>18</v>
      </c>
      <c r="D17" t="s">
        <v>1906</v>
      </c>
      <c r="E17" s="3">
        <v>40</v>
      </c>
      <c r="F17" t="s">
        <v>1821</v>
      </c>
      <c r="G17" t="s">
        <v>1820</v>
      </c>
      <c r="H17" t="s">
        <v>19</v>
      </c>
      <c r="I17" s="1" t="s">
        <v>1066</v>
      </c>
      <c r="J17" s="7">
        <v>4</v>
      </c>
      <c r="K17" s="7">
        <v>2021</v>
      </c>
      <c r="L17" s="3">
        <v>117975.49</v>
      </c>
      <c r="M17" s="9" t="s">
        <v>1960</v>
      </c>
      <c r="N17" s="2" t="s">
        <v>1841</v>
      </c>
      <c r="O17" s="3">
        <v>4215291085</v>
      </c>
      <c r="P17" t="s">
        <v>20</v>
      </c>
      <c r="Q17">
        <v>3</v>
      </c>
      <c r="R17" t="s">
        <v>1962</v>
      </c>
    </row>
    <row r="18" spans="1:18" x14ac:dyDescent="0.35">
      <c r="A18" t="s">
        <v>45</v>
      </c>
      <c r="B18" t="s">
        <v>17</v>
      </c>
      <c r="C18" t="s">
        <v>14</v>
      </c>
      <c r="D18" t="s">
        <v>1907</v>
      </c>
      <c r="E18" s="3">
        <v>25</v>
      </c>
      <c r="F18" t="s">
        <v>1813</v>
      </c>
      <c r="G18" t="s">
        <v>1824</v>
      </c>
      <c r="H18" t="s">
        <v>23</v>
      </c>
      <c r="I18" s="1" t="s">
        <v>1067</v>
      </c>
      <c r="J18" s="7">
        <v>1</v>
      </c>
      <c r="K18" s="7">
        <v>2024</v>
      </c>
      <c r="L18" s="3">
        <v>94867.33</v>
      </c>
      <c r="M18" s="9" t="s">
        <v>1960</v>
      </c>
      <c r="N18" s="2" t="s">
        <v>1842</v>
      </c>
      <c r="O18" s="3">
        <v>7713334475</v>
      </c>
      <c r="P18" t="s">
        <v>27</v>
      </c>
      <c r="Q18">
        <v>1</v>
      </c>
      <c r="R18" t="s">
        <v>1963</v>
      </c>
    </row>
    <row r="19" spans="1:18" x14ac:dyDescent="0.35">
      <c r="A19" t="s">
        <v>46</v>
      </c>
      <c r="B19" t="s">
        <v>42</v>
      </c>
      <c r="C19" t="s">
        <v>29</v>
      </c>
      <c r="D19" t="s">
        <v>1908</v>
      </c>
      <c r="E19" s="3">
        <v>30</v>
      </c>
      <c r="F19" t="s">
        <v>1815</v>
      </c>
      <c r="G19" t="s">
        <v>1816</v>
      </c>
      <c r="H19" t="s">
        <v>19</v>
      </c>
      <c r="I19" s="1" t="s">
        <v>1068</v>
      </c>
      <c r="J19" s="7">
        <v>0</v>
      </c>
      <c r="K19" s="7">
        <v>2024</v>
      </c>
      <c r="L19" s="3">
        <v>100377.65</v>
      </c>
      <c r="M19" s="9" t="s">
        <v>1960</v>
      </c>
      <c r="N19" s="2" t="s">
        <v>1843</v>
      </c>
      <c r="O19" s="3">
        <v>2639343625</v>
      </c>
      <c r="P19" t="s">
        <v>12</v>
      </c>
      <c r="Q19">
        <v>2</v>
      </c>
      <c r="R19" t="s">
        <v>1962</v>
      </c>
    </row>
    <row r="20" spans="1:18" x14ac:dyDescent="0.35">
      <c r="A20" t="s">
        <v>47</v>
      </c>
      <c r="B20" t="s">
        <v>34</v>
      </c>
      <c r="C20" t="s">
        <v>29</v>
      </c>
      <c r="D20" t="s">
        <v>1909</v>
      </c>
      <c r="E20" s="3">
        <v>30</v>
      </c>
      <c r="F20" t="s">
        <v>1819</v>
      </c>
      <c r="G20" t="s">
        <v>1818</v>
      </c>
      <c r="H20" t="s">
        <v>23</v>
      </c>
      <c r="I20" s="1" t="s">
        <v>1069</v>
      </c>
      <c r="J20" s="7">
        <v>1</v>
      </c>
      <c r="K20" s="7">
        <v>2024</v>
      </c>
      <c r="L20" s="3">
        <v>94726.46</v>
      </c>
      <c r="M20" s="9" t="s">
        <v>1960</v>
      </c>
      <c r="N20" s="2" t="s">
        <v>1844</v>
      </c>
      <c r="O20" s="3">
        <v>2044397358</v>
      </c>
      <c r="P20" t="s">
        <v>15</v>
      </c>
      <c r="Q20">
        <v>4</v>
      </c>
      <c r="R20" t="s">
        <v>1963</v>
      </c>
    </row>
    <row r="21" spans="1:18" x14ac:dyDescent="0.35">
      <c r="A21" t="s">
        <v>48</v>
      </c>
      <c r="B21" t="s">
        <v>34</v>
      </c>
      <c r="C21" t="s">
        <v>26</v>
      </c>
      <c r="D21" t="s">
        <v>1910</v>
      </c>
      <c r="E21" s="3">
        <v>35</v>
      </c>
      <c r="F21" t="s">
        <v>1817</v>
      </c>
      <c r="G21" t="s">
        <v>1824</v>
      </c>
      <c r="H21" t="s">
        <v>19</v>
      </c>
      <c r="I21" s="1" t="s">
        <v>1070</v>
      </c>
      <c r="J21" s="7">
        <v>5</v>
      </c>
      <c r="K21" s="7">
        <v>2020</v>
      </c>
      <c r="L21" s="3">
        <v>91926.12</v>
      </c>
      <c r="M21" s="9" t="s">
        <v>1960</v>
      </c>
      <c r="N21" s="2" t="s">
        <v>1845</v>
      </c>
      <c r="O21" s="3">
        <v>7107256365</v>
      </c>
      <c r="P21" t="s">
        <v>12</v>
      </c>
      <c r="Q21">
        <v>2</v>
      </c>
      <c r="R21" t="s">
        <v>1962</v>
      </c>
    </row>
    <row r="22" spans="1:18" x14ac:dyDescent="0.35">
      <c r="A22" t="s">
        <v>49</v>
      </c>
      <c r="B22" t="s">
        <v>9</v>
      </c>
      <c r="C22" t="s">
        <v>50</v>
      </c>
      <c r="D22" t="s">
        <v>1911</v>
      </c>
      <c r="E22" s="3">
        <v>35</v>
      </c>
      <c r="F22" t="s">
        <v>1823</v>
      </c>
      <c r="G22" t="s">
        <v>1822</v>
      </c>
      <c r="H22" t="s">
        <v>11</v>
      </c>
      <c r="I22" s="1" t="s">
        <v>1071</v>
      </c>
      <c r="J22" s="7">
        <v>4</v>
      </c>
      <c r="K22" s="7">
        <v>2021</v>
      </c>
      <c r="L22" s="3">
        <v>111460.67</v>
      </c>
      <c r="M22" s="9" t="s">
        <v>1960</v>
      </c>
      <c r="N22" s="2" t="s">
        <v>1846</v>
      </c>
      <c r="O22" s="3">
        <v>9411800536</v>
      </c>
      <c r="P22" t="s">
        <v>15</v>
      </c>
      <c r="Q22">
        <v>4</v>
      </c>
      <c r="R22" t="s">
        <v>1962</v>
      </c>
    </row>
    <row r="23" spans="1:18" x14ac:dyDescent="0.35">
      <c r="A23" t="s">
        <v>51</v>
      </c>
      <c r="B23" t="s">
        <v>9</v>
      </c>
      <c r="C23" t="s">
        <v>18</v>
      </c>
      <c r="D23" t="s">
        <v>1899</v>
      </c>
      <c r="E23" s="3">
        <v>40</v>
      </c>
      <c r="F23" t="s">
        <v>1819</v>
      </c>
      <c r="G23" t="s">
        <v>1824</v>
      </c>
      <c r="H23" t="s">
        <v>11</v>
      </c>
      <c r="I23" s="1" t="s">
        <v>1072</v>
      </c>
      <c r="J23" s="7">
        <v>5</v>
      </c>
      <c r="K23" s="7">
        <v>2020</v>
      </c>
      <c r="L23" s="3">
        <v>96182.56</v>
      </c>
      <c r="M23" s="9" t="s">
        <v>1960</v>
      </c>
      <c r="N23" s="2" t="s">
        <v>1834</v>
      </c>
      <c r="O23" s="3">
        <v>5990048963</v>
      </c>
      <c r="P23" t="s">
        <v>20</v>
      </c>
      <c r="Q23">
        <v>3</v>
      </c>
      <c r="R23" t="s">
        <v>1963</v>
      </c>
    </row>
    <row r="24" spans="1:18" x14ac:dyDescent="0.35">
      <c r="A24" t="s">
        <v>52</v>
      </c>
      <c r="B24" t="s">
        <v>34</v>
      </c>
      <c r="C24" t="s">
        <v>35</v>
      </c>
      <c r="D24" t="s">
        <v>1901</v>
      </c>
      <c r="E24" s="3">
        <v>35</v>
      </c>
      <c r="F24" t="s">
        <v>1821</v>
      </c>
      <c r="G24" t="s">
        <v>1824</v>
      </c>
      <c r="H24" t="s">
        <v>23</v>
      </c>
      <c r="I24" s="1" t="s">
        <v>1073</v>
      </c>
      <c r="J24" s="7">
        <v>4</v>
      </c>
      <c r="K24" s="7">
        <v>2021</v>
      </c>
      <c r="L24" s="3">
        <v>115023.94</v>
      </c>
      <c r="M24" s="9" t="s">
        <v>1960</v>
      </c>
      <c r="N24" s="2" t="s">
        <v>1836</v>
      </c>
      <c r="O24" s="3">
        <v>6528092427</v>
      </c>
      <c r="P24" t="s">
        <v>12</v>
      </c>
      <c r="Q24">
        <v>2</v>
      </c>
      <c r="R24" t="s">
        <v>1962</v>
      </c>
    </row>
    <row r="25" spans="1:18" x14ac:dyDescent="0.35">
      <c r="A25" t="s">
        <v>53</v>
      </c>
      <c r="B25" t="s">
        <v>37</v>
      </c>
      <c r="C25" t="s">
        <v>29</v>
      </c>
      <c r="D25" t="s">
        <v>1912</v>
      </c>
      <c r="E25" s="3">
        <v>35</v>
      </c>
      <c r="F25" t="s">
        <v>1815</v>
      </c>
      <c r="G25" t="s">
        <v>1818</v>
      </c>
      <c r="H25" t="s">
        <v>19</v>
      </c>
      <c r="I25" s="1" t="s">
        <v>1074</v>
      </c>
      <c r="J25" s="7">
        <v>3</v>
      </c>
      <c r="K25" s="7">
        <v>2022</v>
      </c>
      <c r="L25" s="3">
        <v>80667.009999999995</v>
      </c>
      <c r="M25" s="9" t="s">
        <v>1959</v>
      </c>
      <c r="N25" s="2" t="s">
        <v>1847</v>
      </c>
      <c r="O25" s="3">
        <v>7572158623</v>
      </c>
      <c r="P25" t="s">
        <v>15</v>
      </c>
      <c r="Q25">
        <v>4</v>
      </c>
      <c r="R25" t="s">
        <v>1963</v>
      </c>
    </row>
    <row r="26" spans="1:18" x14ac:dyDescent="0.35">
      <c r="A26" t="s">
        <v>54</v>
      </c>
      <c r="B26" t="s">
        <v>9</v>
      </c>
      <c r="C26" t="s">
        <v>14</v>
      </c>
      <c r="D26" t="s">
        <v>1893</v>
      </c>
      <c r="E26" s="3">
        <v>30</v>
      </c>
      <c r="F26" t="s">
        <v>1817</v>
      </c>
      <c r="G26" t="s">
        <v>1816</v>
      </c>
      <c r="H26" t="s">
        <v>23</v>
      </c>
      <c r="I26" s="1" t="s">
        <v>1075</v>
      </c>
      <c r="J26" s="7">
        <v>5</v>
      </c>
      <c r="K26" s="7">
        <v>2020</v>
      </c>
      <c r="L26" s="3">
        <v>91181.61</v>
      </c>
      <c r="M26" s="9" t="s">
        <v>1960</v>
      </c>
      <c r="N26" s="2" t="s">
        <v>1828</v>
      </c>
      <c r="O26" s="3">
        <v>1502745643</v>
      </c>
      <c r="P26" t="s">
        <v>20</v>
      </c>
      <c r="Q26">
        <v>3</v>
      </c>
      <c r="R26" t="s">
        <v>1962</v>
      </c>
    </row>
    <row r="27" spans="1:18" x14ac:dyDescent="0.35">
      <c r="A27" t="s">
        <v>55</v>
      </c>
      <c r="B27" t="s">
        <v>37</v>
      </c>
      <c r="C27" t="s">
        <v>50</v>
      </c>
      <c r="D27" t="s">
        <v>1913</v>
      </c>
      <c r="E27" s="3">
        <v>25</v>
      </c>
      <c r="F27" t="s">
        <v>1819</v>
      </c>
      <c r="G27" t="s">
        <v>1818</v>
      </c>
      <c r="H27" t="s">
        <v>19</v>
      </c>
      <c r="I27" s="1" t="s">
        <v>1076</v>
      </c>
      <c r="J27" s="7">
        <v>5</v>
      </c>
      <c r="K27" s="7">
        <v>2020</v>
      </c>
      <c r="L27" s="3">
        <v>66025.919999999998</v>
      </c>
      <c r="M27" s="9" t="s">
        <v>1959</v>
      </c>
      <c r="N27" s="2" t="s">
        <v>1848</v>
      </c>
      <c r="O27" s="3">
        <v>9485625727</v>
      </c>
      <c r="P27" t="s">
        <v>12</v>
      </c>
      <c r="Q27">
        <v>2</v>
      </c>
      <c r="R27" t="s">
        <v>1963</v>
      </c>
    </row>
    <row r="28" spans="1:18" x14ac:dyDescent="0.35">
      <c r="A28" t="s">
        <v>56</v>
      </c>
      <c r="B28" t="s">
        <v>25</v>
      </c>
      <c r="C28" t="s">
        <v>50</v>
      </c>
      <c r="D28" t="s">
        <v>1914</v>
      </c>
      <c r="E28" s="3">
        <v>25</v>
      </c>
      <c r="F28" t="s">
        <v>1821</v>
      </c>
      <c r="G28" t="s">
        <v>1822</v>
      </c>
      <c r="H28" t="s">
        <v>23</v>
      </c>
      <c r="I28" s="1" t="s">
        <v>1077</v>
      </c>
      <c r="J28" s="7">
        <v>2</v>
      </c>
      <c r="K28" s="7">
        <v>2023</v>
      </c>
      <c r="L28" s="3">
        <v>83979.01</v>
      </c>
      <c r="M28" s="9" t="s">
        <v>1959</v>
      </c>
      <c r="N28" s="2" t="s">
        <v>1849</v>
      </c>
      <c r="O28" s="3">
        <v>7032032073</v>
      </c>
      <c r="P28" t="s">
        <v>12</v>
      </c>
      <c r="Q28">
        <v>2</v>
      </c>
      <c r="R28" t="s">
        <v>1963</v>
      </c>
    </row>
    <row r="29" spans="1:18" x14ac:dyDescent="0.35">
      <c r="A29" t="s">
        <v>57</v>
      </c>
      <c r="B29" t="s">
        <v>40</v>
      </c>
      <c r="C29" t="s">
        <v>35</v>
      </c>
      <c r="D29" t="s">
        <v>1915</v>
      </c>
      <c r="E29" s="3">
        <v>30</v>
      </c>
      <c r="F29" t="s">
        <v>1815</v>
      </c>
      <c r="G29" t="s">
        <v>1820</v>
      </c>
      <c r="H29" t="s">
        <v>11</v>
      </c>
      <c r="I29" s="1" t="s">
        <v>1078</v>
      </c>
      <c r="J29" s="7">
        <v>4</v>
      </c>
      <c r="K29" s="7">
        <v>2020</v>
      </c>
      <c r="L29" s="3">
        <v>56785.16</v>
      </c>
      <c r="M29" s="9" t="s">
        <v>1958</v>
      </c>
      <c r="N29" s="2" t="s">
        <v>1850</v>
      </c>
      <c r="O29" s="3">
        <v>2761707586</v>
      </c>
      <c r="P29" t="s">
        <v>15</v>
      </c>
      <c r="Q29">
        <v>4</v>
      </c>
      <c r="R29" t="s">
        <v>1962</v>
      </c>
    </row>
    <row r="30" spans="1:18" x14ac:dyDescent="0.35">
      <c r="A30" t="s">
        <v>58</v>
      </c>
      <c r="B30" t="s">
        <v>42</v>
      </c>
      <c r="C30" t="s">
        <v>29</v>
      </c>
      <c r="D30" t="s">
        <v>1908</v>
      </c>
      <c r="E30" s="3">
        <v>40</v>
      </c>
      <c r="F30" t="s">
        <v>1815</v>
      </c>
      <c r="G30" t="s">
        <v>1818</v>
      </c>
      <c r="H30" t="s">
        <v>11</v>
      </c>
      <c r="I30" s="1" t="s">
        <v>1079</v>
      </c>
      <c r="J30" s="7">
        <v>2</v>
      </c>
      <c r="K30" s="7">
        <v>2023</v>
      </c>
      <c r="L30" s="3">
        <v>95741.88</v>
      </c>
      <c r="M30" s="9" t="s">
        <v>1960</v>
      </c>
      <c r="N30" s="2" t="s">
        <v>1843</v>
      </c>
      <c r="O30" s="3">
        <v>7712151341</v>
      </c>
      <c r="P30" t="s">
        <v>15</v>
      </c>
      <c r="Q30">
        <v>4</v>
      </c>
      <c r="R30" t="s">
        <v>1963</v>
      </c>
    </row>
    <row r="31" spans="1:18" x14ac:dyDescent="0.35">
      <c r="A31" t="s">
        <v>59</v>
      </c>
      <c r="B31" t="s">
        <v>17</v>
      </c>
      <c r="C31" t="s">
        <v>14</v>
      </c>
      <c r="D31" t="s">
        <v>1907</v>
      </c>
      <c r="E31" s="3">
        <v>40</v>
      </c>
      <c r="F31" t="s">
        <v>1813</v>
      </c>
      <c r="G31" t="s">
        <v>1814</v>
      </c>
      <c r="H31" t="s">
        <v>11</v>
      </c>
      <c r="I31" s="1" t="s">
        <v>1080</v>
      </c>
      <c r="J31" s="7">
        <v>4</v>
      </c>
      <c r="K31" s="7">
        <v>2021</v>
      </c>
      <c r="L31" s="3">
        <v>63411.31</v>
      </c>
      <c r="M31" s="9" t="s">
        <v>1959</v>
      </c>
      <c r="N31" s="2" t="s">
        <v>1842</v>
      </c>
      <c r="O31" s="3">
        <v>2849939088</v>
      </c>
      <c r="P31" t="s">
        <v>15</v>
      </c>
      <c r="Q31">
        <v>4</v>
      </c>
      <c r="R31" t="s">
        <v>1962</v>
      </c>
    </row>
    <row r="32" spans="1:18" x14ac:dyDescent="0.35">
      <c r="A32" t="s">
        <v>60</v>
      </c>
      <c r="B32" t="s">
        <v>34</v>
      </c>
      <c r="C32" t="s">
        <v>18</v>
      </c>
      <c r="D32" t="s">
        <v>1916</v>
      </c>
      <c r="E32" s="3">
        <v>40</v>
      </c>
      <c r="F32" t="s">
        <v>1817</v>
      </c>
      <c r="G32" t="s">
        <v>1814</v>
      </c>
      <c r="H32" t="s">
        <v>23</v>
      </c>
      <c r="I32" s="1" t="s">
        <v>1081</v>
      </c>
      <c r="J32" s="7">
        <v>4</v>
      </c>
      <c r="K32" s="7">
        <v>2021</v>
      </c>
      <c r="L32" s="3">
        <v>111214.02</v>
      </c>
      <c r="M32" s="9" t="s">
        <v>1960</v>
      </c>
      <c r="N32" s="2" t="s">
        <v>1851</v>
      </c>
      <c r="O32" s="3">
        <v>2613715040</v>
      </c>
      <c r="P32" t="s">
        <v>20</v>
      </c>
      <c r="Q32">
        <v>3</v>
      </c>
      <c r="R32" t="s">
        <v>1962</v>
      </c>
    </row>
    <row r="33" spans="1:18" x14ac:dyDescent="0.35">
      <c r="A33" t="s">
        <v>61</v>
      </c>
      <c r="B33" t="s">
        <v>9</v>
      </c>
      <c r="C33" t="s">
        <v>62</v>
      </c>
      <c r="D33" t="s">
        <v>1917</v>
      </c>
      <c r="E33" s="3">
        <v>25</v>
      </c>
      <c r="F33" t="s">
        <v>1813</v>
      </c>
      <c r="G33" t="s">
        <v>1824</v>
      </c>
      <c r="H33" t="s">
        <v>11</v>
      </c>
      <c r="I33" s="1" t="s">
        <v>1052</v>
      </c>
      <c r="J33" s="7">
        <v>5</v>
      </c>
      <c r="K33" s="7">
        <v>2020</v>
      </c>
      <c r="L33" s="3">
        <v>114845.69</v>
      </c>
      <c r="M33" s="9" t="s">
        <v>1960</v>
      </c>
      <c r="N33" s="2" t="s">
        <v>1852</v>
      </c>
      <c r="O33" s="3">
        <v>6591520176</v>
      </c>
      <c r="P33" t="s">
        <v>15</v>
      </c>
      <c r="Q33">
        <v>4</v>
      </c>
      <c r="R33" t="s">
        <v>1962</v>
      </c>
    </row>
    <row r="34" spans="1:18" x14ac:dyDescent="0.35">
      <c r="A34" t="s">
        <v>63</v>
      </c>
      <c r="B34" t="s">
        <v>34</v>
      </c>
      <c r="C34" t="s">
        <v>14</v>
      </c>
      <c r="D34" t="s">
        <v>1918</v>
      </c>
      <c r="E34" s="3">
        <v>40</v>
      </c>
      <c r="F34" t="s">
        <v>1815</v>
      </c>
      <c r="G34" t="s">
        <v>1820</v>
      </c>
      <c r="H34" t="s">
        <v>11</v>
      </c>
      <c r="I34" s="1" t="s">
        <v>1082</v>
      </c>
      <c r="J34" s="7">
        <v>1</v>
      </c>
      <c r="K34" s="7">
        <v>2024</v>
      </c>
      <c r="L34" s="3">
        <v>78072.820000000007</v>
      </c>
      <c r="M34" s="9" t="s">
        <v>1959</v>
      </c>
      <c r="N34" s="2" t="s">
        <v>1853</v>
      </c>
      <c r="O34" s="3">
        <v>7490509758</v>
      </c>
      <c r="P34" t="s">
        <v>12</v>
      </c>
      <c r="Q34">
        <v>2</v>
      </c>
      <c r="R34" t="s">
        <v>1963</v>
      </c>
    </row>
    <row r="35" spans="1:18" x14ac:dyDescent="0.35">
      <c r="A35" t="s">
        <v>64</v>
      </c>
      <c r="B35" t="s">
        <v>42</v>
      </c>
      <c r="C35" t="s">
        <v>35</v>
      </c>
      <c r="D35" t="s">
        <v>1919</v>
      </c>
      <c r="E35" s="3">
        <v>25</v>
      </c>
      <c r="F35" t="s">
        <v>1815</v>
      </c>
      <c r="G35" t="s">
        <v>1814</v>
      </c>
      <c r="H35" t="s">
        <v>23</v>
      </c>
      <c r="I35" s="1" t="s">
        <v>1083</v>
      </c>
      <c r="J35" s="7">
        <v>4</v>
      </c>
      <c r="K35" s="7">
        <v>2021</v>
      </c>
      <c r="L35" s="3">
        <v>79610.52</v>
      </c>
      <c r="M35" s="9" t="s">
        <v>1959</v>
      </c>
      <c r="N35" s="2" t="s">
        <v>1854</v>
      </c>
      <c r="O35" s="3">
        <v>2304501895</v>
      </c>
      <c r="P35" t="s">
        <v>12</v>
      </c>
      <c r="Q35">
        <v>2</v>
      </c>
      <c r="R35" t="s">
        <v>1963</v>
      </c>
    </row>
    <row r="36" spans="1:18" x14ac:dyDescent="0.35">
      <c r="A36" t="s">
        <v>65</v>
      </c>
      <c r="B36" t="s">
        <v>40</v>
      </c>
      <c r="C36" t="s">
        <v>50</v>
      </c>
      <c r="D36" t="s">
        <v>1920</v>
      </c>
      <c r="E36" s="3">
        <v>30</v>
      </c>
      <c r="F36" t="s">
        <v>1817</v>
      </c>
      <c r="G36" t="s">
        <v>1814</v>
      </c>
      <c r="H36" t="s">
        <v>11</v>
      </c>
      <c r="I36" s="1" t="s">
        <v>1084</v>
      </c>
      <c r="J36" s="7">
        <v>5</v>
      </c>
      <c r="K36" s="7">
        <v>2020</v>
      </c>
      <c r="L36" s="3">
        <v>90542.62</v>
      </c>
      <c r="M36" s="9" t="s">
        <v>1960</v>
      </c>
      <c r="N36" s="2" t="s">
        <v>1855</v>
      </c>
      <c r="O36" s="3">
        <v>1642361031</v>
      </c>
      <c r="P36" t="s">
        <v>15</v>
      </c>
      <c r="Q36">
        <v>4</v>
      </c>
      <c r="R36" t="s">
        <v>1962</v>
      </c>
    </row>
    <row r="37" spans="1:18" x14ac:dyDescent="0.35">
      <c r="A37" t="s">
        <v>66</v>
      </c>
      <c r="B37" t="s">
        <v>25</v>
      </c>
      <c r="C37" t="s">
        <v>18</v>
      </c>
      <c r="D37" t="s">
        <v>1898</v>
      </c>
      <c r="E37" s="3">
        <v>25</v>
      </c>
      <c r="F37" t="s">
        <v>1819</v>
      </c>
      <c r="G37" t="s">
        <v>1824</v>
      </c>
      <c r="H37" t="s">
        <v>23</v>
      </c>
      <c r="I37" s="1" t="s">
        <v>1085</v>
      </c>
      <c r="J37" s="7">
        <v>3</v>
      </c>
      <c r="K37" s="7">
        <v>2022</v>
      </c>
      <c r="L37" s="3">
        <v>114357.1</v>
      </c>
      <c r="M37" s="9" t="s">
        <v>1960</v>
      </c>
      <c r="N37" s="2" t="s">
        <v>1833</v>
      </c>
      <c r="O37" s="3">
        <v>6642147648</v>
      </c>
      <c r="P37" t="s">
        <v>15</v>
      </c>
      <c r="Q37">
        <v>4</v>
      </c>
      <c r="R37" t="s">
        <v>1962</v>
      </c>
    </row>
    <row r="38" spans="1:18" x14ac:dyDescent="0.35">
      <c r="A38" t="s">
        <v>67</v>
      </c>
      <c r="B38" t="s">
        <v>17</v>
      </c>
      <c r="C38" t="s">
        <v>14</v>
      </c>
      <c r="D38" t="s">
        <v>1907</v>
      </c>
      <c r="E38" s="3">
        <v>30</v>
      </c>
      <c r="F38" t="s">
        <v>1819</v>
      </c>
      <c r="G38" t="s">
        <v>1822</v>
      </c>
      <c r="H38" t="s">
        <v>11</v>
      </c>
      <c r="I38" s="1" t="s">
        <v>1086</v>
      </c>
      <c r="J38" s="7">
        <v>2</v>
      </c>
      <c r="K38" s="7">
        <v>2023</v>
      </c>
      <c r="L38" s="3">
        <v>54757.26</v>
      </c>
      <c r="M38" s="9" t="s">
        <v>1958</v>
      </c>
      <c r="N38" s="2" t="s">
        <v>1842</v>
      </c>
      <c r="O38" s="3">
        <v>2515837766</v>
      </c>
      <c r="P38" t="s">
        <v>27</v>
      </c>
      <c r="Q38">
        <v>1</v>
      </c>
      <c r="R38" t="s">
        <v>1963</v>
      </c>
    </row>
    <row r="39" spans="1:18" x14ac:dyDescent="0.35">
      <c r="A39" t="s">
        <v>68</v>
      </c>
      <c r="B39" t="s">
        <v>42</v>
      </c>
      <c r="C39" t="s">
        <v>62</v>
      </c>
      <c r="D39" t="s">
        <v>1921</v>
      </c>
      <c r="E39" s="3">
        <v>25</v>
      </c>
      <c r="F39" t="s">
        <v>1821</v>
      </c>
      <c r="G39" t="s">
        <v>1822</v>
      </c>
      <c r="H39" t="s">
        <v>19</v>
      </c>
      <c r="I39" s="1" t="s">
        <v>1087</v>
      </c>
      <c r="J39" s="7">
        <v>2</v>
      </c>
      <c r="K39" s="7">
        <v>2023</v>
      </c>
      <c r="L39" s="3">
        <v>52781.919999999998</v>
      </c>
      <c r="M39" s="9" t="s">
        <v>1958</v>
      </c>
      <c r="N39" s="2" t="s">
        <v>1856</v>
      </c>
      <c r="O39" s="3">
        <v>4996165925</v>
      </c>
      <c r="P39" t="s">
        <v>12</v>
      </c>
      <c r="Q39">
        <v>2</v>
      </c>
      <c r="R39" t="s">
        <v>1962</v>
      </c>
    </row>
    <row r="40" spans="1:18" x14ac:dyDescent="0.35">
      <c r="A40" t="s">
        <v>69</v>
      </c>
      <c r="B40" t="s">
        <v>25</v>
      </c>
      <c r="C40" t="s">
        <v>62</v>
      </c>
      <c r="D40" t="s">
        <v>1922</v>
      </c>
      <c r="E40" s="3">
        <v>35</v>
      </c>
      <c r="F40" t="s">
        <v>1817</v>
      </c>
      <c r="G40" t="s">
        <v>1818</v>
      </c>
      <c r="H40" t="s">
        <v>19</v>
      </c>
      <c r="I40" s="1" t="s">
        <v>1088</v>
      </c>
      <c r="J40" s="7">
        <v>4</v>
      </c>
      <c r="K40" s="7">
        <v>2021</v>
      </c>
      <c r="L40" s="3">
        <v>66708.02</v>
      </c>
      <c r="M40" s="9" t="s">
        <v>1959</v>
      </c>
      <c r="N40" s="2" t="s">
        <v>1857</v>
      </c>
      <c r="O40" s="3">
        <v>6108573277</v>
      </c>
      <c r="P40" t="s">
        <v>20</v>
      </c>
      <c r="Q40">
        <v>3</v>
      </c>
      <c r="R40" t="s">
        <v>1962</v>
      </c>
    </row>
    <row r="41" spans="1:18" x14ac:dyDescent="0.35">
      <c r="A41" t="s">
        <v>70</v>
      </c>
      <c r="B41" t="s">
        <v>22</v>
      </c>
      <c r="C41" t="s">
        <v>26</v>
      </c>
      <c r="D41" t="s">
        <v>1923</v>
      </c>
      <c r="E41" s="3">
        <v>40</v>
      </c>
      <c r="F41" t="s">
        <v>1823</v>
      </c>
      <c r="G41" t="s">
        <v>1816</v>
      </c>
      <c r="H41" t="s">
        <v>11</v>
      </c>
      <c r="I41" s="1" t="s">
        <v>1089</v>
      </c>
      <c r="J41" s="7">
        <v>3</v>
      </c>
      <c r="K41" s="7">
        <v>2022</v>
      </c>
      <c r="L41" s="3">
        <v>93481.15</v>
      </c>
      <c r="M41" s="9" t="s">
        <v>1960</v>
      </c>
      <c r="N41" s="2" t="s">
        <v>1858</v>
      </c>
      <c r="O41" s="3">
        <v>8147617421</v>
      </c>
      <c r="P41" t="s">
        <v>27</v>
      </c>
      <c r="Q41">
        <v>1</v>
      </c>
      <c r="R41" t="s">
        <v>1963</v>
      </c>
    </row>
    <row r="42" spans="1:18" x14ac:dyDescent="0.35">
      <c r="A42" t="s">
        <v>71</v>
      </c>
      <c r="B42" t="s">
        <v>9</v>
      </c>
      <c r="C42" t="s">
        <v>26</v>
      </c>
      <c r="D42" t="s">
        <v>1924</v>
      </c>
      <c r="E42" s="3">
        <v>25</v>
      </c>
      <c r="F42" t="s">
        <v>1821</v>
      </c>
      <c r="G42" t="s">
        <v>1822</v>
      </c>
      <c r="H42" t="s">
        <v>19</v>
      </c>
      <c r="I42" s="1" t="s">
        <v>1090</v>
      </c>
      <c r="J42" s="7">
        <v>4</v>
      </c>
      <c r="K42" s="7">
        <v>2021</v>
      </c>
      <c r="L42" s="3">
        <v>59271.96</v>
      </c>
      <c r="M42" s="9" t="s">
        <v>1958</v>
      </c>
      <c r="N42" s="2" t="s">
        <v>1859</v>
      </c>
      <c r="O42" s="3">
        <v>4386490809</v>
      </c>
      <c r="P42" t="s">
        <v>15</v>
      </c>
      <c r="Q42">
        <v>4</v>
      </c>
      <c r="R42" t="s">
        <v>1962</v>
      </c>
    </row>
    <row r="43" spans="1:18" x14ac:dyDescent="0.35">
      <c r="A43" t="s">
        <v>72</v>
      </c>
      <c r="B43" t="s">
        <v>9</v>
      </c>
      <c r="C43" t="s">
        <v>10</v>
      </c>
      <c r="D43" t="s">
        <v>1892</v>
      </c>
      <c r="E43" s="3">
        <v>30</v>
      </c>
      <c r="F43" t="s">
        <v>1823</v>
      </c>
      <c r="G43" t="s">
        <v>1814</v>
      </c>
      <c r="H43" t="s">
        <v>11</v>
      </c>
      <c r="I43" s="1" t="s">
        <v>1091</v>
      </c>
      <c r="J43" s="7">
        <v>3</v>
      </c>
      <c r="K43" s="7">
        <v>2022</v>
      </c>
      <c r="L43" s="3">
        <v>108362.15</v>
      </c>
      <c r="M43" s="9" t="s">
        <v>1960</v>
      </c>
      <c r="N43" s="2" t="s">
        <v>1827</v>
      </c>
      <c r="O43" s="3">
        <v>8186617944</v>
      </c>
      <c r="P43" t="s">
        <v>15</v>
      </c>
      <c r="Q43">
        <v>4</v>
      </c>
      <c r="R43" t="s">
        <v>1963</v>
      </c>
    </row>
    <row r="44" spans="1:18" x14ac:dyDescent="0.35">
      <c r="A44" t="s">
        <v>73</v>
      </c>
      <c r="B44" t="s">
        <v>17</v>
      </c>
      <c r="C44" t="s">
        <v>35</v>
      </c>
      <c r="D44" t="s">
        <v>1925</v>
      </c>
      <c r="E44" s="3">
        <v>30</v>
      </c>
      <c r="F44" t="s">
        <v>1823</v>
      </c>
      <c r="G44" t="s">
        <v>1818</v>
      </c>
      <c r="H44" t="s">
        <v>11</v>
      </c>
      <c r="I44" s="1" t="s">
        <v>1092</v>
      </c>
      <c r="J44" s="7">
        <v>1</v>
      </c>
      <c r="K44" s="7">
        <v>2024</v>
      </c>
      <c r="L44" s="3">
        <v>59400.38</v>
      </c>
      <c r="M44" s="9" t="s">
        <v>1958</v>
      </c>
      <c r="N44" s="2" t="s">
        <v>1860</v>
      </c>
      <c r="O44" s="3">
        <v>4918017225</v>
      </c>
      <c r="P44" t="s">
        <v>12</v>
      </c>
      <c r="Q44">
        <v>2</v>
      </c>
      <c r="R44" t="s">
        <v>1962</v>
      </c>
    </row>
    <row r="45" spans="1:18" x14ac:dyDescent="0.35">
      <c r="A45" t="s">
        <v>74</v>
      </c>
      <c r="B45" t="s">
        <v>9</v>
      </c>
      <c r="C45" t="s">
        <v>29</v>
      </c>
      <c r="D45" t="s">
        <v>1926</v>
      </c>
      <c r="E45" s="3">
        <v>30</v>
      </c>
      <c r="F45" t="s">
        <v>1817</v>
      </c>
      <c r="G45" t="s">
        <v>1814</v>
      </c>
      <c r="H45" t="s">
        <v>23</v>
      </c>
      <c r="I45" s="1" t="s">
        <v>1093</v>
      </c>
      <c r="J45" s="7">
        <v>2</v>
      </c>
      <c r="K45" s="7">
        <v>2023</v>
      </c>
      <c r="L45" s="3">
        <v>64744.08</v>
      </c>
      <c r="M45" s="9" t="s">
        <v>1959</v>
      </c>
      <c r="N45" s="2" t="s">
        <v>1861</v>
      </c>
      <c r="O45" s="3">
        <v>164597793</v>
      </c>
      <c r="P45" t="s">
        <v>15</v>
      </c>
      <c r="Q45">
        <v>4</v>
      </c>
      <c r="R45" t="s">
        <v>1963</v>
      </c>
    </row>
    <row r="46" spans="1:18" x14ac:dyDescent="0.35">
      <c r="A46" t="s">
        <v>75</v>
      </c>
      <c r="B46" t="s">
        <v>22</v>
      </c>
      <c r="C46" t="s">
        <v>14</v>
      </c>
      <c r="D46" t="s">
        <v>1927</v>
      </c>
      <c r="E46" s="3">
        <v>30</v>
      </c>
      <c r="F46" t="s">
        <v>1815</v>
      </c>
      <c r="G46" t="s">
        <v>1814</v>
      </c>
      <c r="H46" t="s">
        <v>11</v>
      </c>
      <c r="I46" s="1" t="s">
        <v>1094</v>
      </c>
      <c r="J46" s="7">
        <v>5</v>
      </c>
      <c r="K46" s="7">
        <v>2020</v>
      </c>
      <c r="L46" s="3">
        <v>94399.91</v>
      </c>
      <c r="M46" s="9" t="s">
        <v>1960</v>
      </c>
      <c r="N46" s="2" t="s">
        <v>1862</v>
      </c>
      <c r="O46" s="3">
        <v>5232194167</v>
      </c>
      <c r="P46" t="s">
        <v>20</v>
      </c>
      <c r="Q46">
        <v>3</v>
      </c>
      <c r="R46" t="s">
        <v>1962</v>
      </c>
    </row>
    <row r="47" spans="1:18" x14ac:dyDescent="0.35">
      <c r="A47" t="s">
        <v>76</v>
      </c>
      <c r="B47" t="s">
        <v>17</v>
      </c>
      <c r="C47" t="s">
        <v>14</v>
      </c>
      <c r="D47" t="s">
        <v>1907</v>
      </c>
      <c r="E47" s="3">
        <v>25</v>
      </c>
      <c r="F47" t="s">
        <v>1823</v>
      </c>
      <c r="G47" t="s">
        <v>1822</v>
      </c>
      <c r="H47" t="s">
        <v>19</v>
      </c>
      <c r="I47" s="1" t="s">
        <v>1095</v>
      </c>
      <c r="J47" s="7">
        <v>4</v>
      </c>
      <c r="K47" s="7">
        <v>2021</v>
      </c>
      <c r="L47" s="3">
        <v>61310.74</v>
      </c>
      <c r="M47" s="9" t="s">
        <v>1959</v>
      </c>
      <c r="N47" s="2" t="s">
        <v>1842</v>
      </c>
      <c r="O47" s="3">
        <v>61027768</v>
      </c>
      <c r="P47" t="s">
        <v>12</v>
      </c>
      <c r="Q47">
        <v>2</v>
      </c>
      <c r="R47" t="s">
        <v>1962</v>
      </c>
    </row>
    <row r="48" spans="1:18" x14ac:dyDescent="0.35">
      <c r="A48" t="s">
        <v>77</v>
      </c>
      <c r="B48" t="s">
        <v>42</v>
      </c>
      <c r="C48" t="s">
        <v>29</v>
      </c>
      <c r="D48" t="s">
        <v>1908</v>
      </c>
      <c r="E48" s="3">
        <v>30</v>
      </c>
      <c r="F48" t="s">
        <v>1819</v>
      </c>
      <c r="G48" t="s">
        <v>1816</v>
      </c>
      <c r="H48" t="s">
        <v>11</v>
      </c>
      <c r="I48" s="1" t="s">
        <v>1096</v>
      </c>
      <c r="J48" s="7">
        <v>0</v>
      </c>
      <c r="K48" s="7">
        <v>2024</v>
      </c>
      <c r="L48" s="3">
        <v>98371.37</v>
      </c>
      <c r="M48" s="9" t="s">
        <v>1960</v>
      </c>
      <c r="N48" s="2" t="s">
        <v>1843</v>
      </c>
      <c r="O48" s="3">
        <v>7499564121</v>
      </c>
      <c r="P48" t="s">
        <v>15</v>
      </c>
      <c r="Q48">
        <v>4</v>
      </c>
      <c r="R48" t="s">
        <v>1963</v>
      </c>
    </row>
    <row r="49" spans="1:18" x14ac:dyDescent="0.35">
      <c r="A49" t="s">
        <v>78</v>
      </c>
      <c r="B49" t="s">
        <v>17</v>
      </c>
      <c r="C49" t="s">
        <v>10</v>
      </c>
      <c r="D49" t="s">
        <v>1928</v>
      </c>
      <c r="E49" s="3">
        <v>35</v>
      </c>
      <c r="F49" t="s">
        <v>1821</v>
      </c>
      <c r="G49" t="s">
        <v>1824</v>
      </c>
      <c r="H49" t="s">
        <v>11</v>
      </c>
      <c r="I49" s="1" t="s">
        <v>1097</v>
      </c>
      <c r="J49" s="7">
        <v>3</v>
      </c>
      <c r="K49" s="7">
        <v>2022</v>
      </c>
      <c r="L49" s="3">
        <v>58921.19</v>
      </c>
      <c r="M49" s="9" t="s">
        <v>1958</v>
      </c>
      <c r="N49" s="2" t="s">
        <v>1863</v>
      </c>
      <c r="O49" s="3">
        <v>310303722</v>
      </c>
      <c r="P49" t="s">
        <v>12</v>
      </c>
      <c r="Q49">
        <v>2</v>
      </c>
      <c r="R49" t="s">
        <v>1962</v>
      </c>
    </row>
    <row r="50" spans="1:18" x14ac:dyDescent="0.35">
      <c r="A50" t="s">
        <v>79</v>
      </c>
      <c r="B50" t="s">
        <v>17</v>
      </c>
      <c r="C50" t="s">
        <v>50</v>
      </c>
      <c r="D50" t="s">
        <v>1929</v>
      </c>
      <c r="E50" s="3">
        <v>35</v>
      </c>
      <c r="F50" t="s">
        <v>1817</v>
      </c>
      <c r="G50" t="s">
        <v>1818</v>
      </c>
      <c r="H50" t="s">
        <v>11</v>
      </c>
      <c r="I50" s="1" t="s">
        <v>1098</v>
      </c>
      <c r="J50" s="7">
        <v>2</v>
      </c>
      <c r="K50" s="7">
        <v>2023</v>
      </c>
      <c r="L50" s="3">
        <v>57195.55</v>
      </c>
      <c r="M50" s="9" t="s">
        <v>1958</v>
      </c>
      <c r="N50" s="2" t="s">
        <v>1864</v>
      </c>
      <c r="O50" s="3">
        <v>6831472759</v>
      </c>
      <c r="P50" t="s">
        <v>15</v>
      </c>
      <c r="Q50">
        <v>4</v>
      </c>
      <c r="R50" t="s">
        <v>1963</v>
      </c>
    </row>
    <row r="51" spans="1:18" x14ac:dyDescent="0.35">
      <c r="A51" t="s">
        <v>80</v>
      </c>
      <c r="B51" t="s">
        <v>42</v>
      </c>
      <c r="C51" t="s">
        <v>50</v>
      </c>
      <c r="D51" t="s">
        <v>1930</v>
      </c>
      <c r="E51" s="3">
        <v>30</v>
      </c>
      <c r="F51" t="s">
        <v>1813</v>
      </c>
      <c r="G51" t="s">
        <v>1822</v>
      </c>
      <c r="H51" t="s">
        <v>11</v>
      </c>
      <c r="I51" s="1" t="s">
        <v>1082</v>
      </c>
      <c r="J51" s="7">
        <v>1</v>
      </c>
      <c r="K51" s="7">
        <v>2024</v>
      </c>
      <c r="L51" s="3">
        <v>61375.12</v>
      </c>
      <c r="M51" s="9" t="s">
        <v>1959</v>
      </c>
      <c r="N51" s="2" t="s">
        <v>1865</v>
      </c>
      <c r="O51" s="3">
        <v>1227770792</v>
      </c>
      <c r="P51" t="s">
        <v>15</v>
      </c>
      <c r="Q51">
        <v>4</v>
      </c>
      <c r="R51" t="s">
        <v>1962</v>
      </c>
    </row>
    <row r="52" spans="1:18" x14ac:dyDescent="0.35">
      <c r="A52" t="s">
        <v>81</v>
      </c>
      <c r="B52" t="s">
        <v>34</v>
      </c>
      <c r="C52" t="s">
        <v>10</v>
      </c>
      <c r="D52" t="s">
        <v>1931</v>
      </c>
      <c r="E52" s="3">
        <v>40</v>
      </c>
      <c r="F52" t="s">
        <v>1819</v>
      </c>
      <c r="G52" t="s">
        <v>1822</v>
      </c>
      <c r="H52" t="s">
        <v>19</v>
      </c>
      <c r="I52" s="1" t="s">
        <v>1099</v>
      </c>
      <c r="J52" s="7">
        <v>4</v>
      </c>
      <c r="K52" s="7">
        <v>2021</v>
      </c>
      <c r="L52" s="3">
        <v>104767.05</v>
      </c>
      <c r="M52" s="9" t="s">
        <v>1960</v>
      </c>
      <c r="N52" s="2" t="s">
        <v>1866</v>
      </c>
      <c r="O52" s="3">
        <v>3496050165</v>
      </c>
      <c r="P52" t="s">
        <v>15</v>
      </c>
      <c r="Q52">
        <v>4</v>
      </c>
      <c r="R52" t="s">
        <v>1963</v>
      </c>
    </row>
    <row r="53" spans="1:18" x14ac:dyDescent="0.35">
      <c r="A53" t="s">
        <v>82</v>
      </c>
      <c r="B53" t="s">
        <v>37</v>
      </c>
      <c r="C53" t="s">
        <v>50</v>
      </c>
      <c r="D53" t="s">
        <v>1913</v>
      </c>
      <c r="E53" s="3">
        <v>35</v>
      </c>
      <c r="F53" t="s">
        <v>1817</v>
      </c>
      <c r="G53" t="s">
        <v>1818</v>
      </c>
      <c r="H53" t="s">
        <v>11</v>
      </c>
      <c r="I53" s="1" t="s">
        <v>1100</v>
      </c>
      <c r="J53" s="7">
        <v>3</v>
      </c>
      <c r="K53" s="7">
        <v>2022</v>
      </c>
      <c r="L53" s="3">
        <v>111051.67</v>
      </c>
      <c r="M53" s="9" t="s">
        <v>1960</v>
      </c>
      <c r="N53" s="2" t="s">
        <v>1848</v>
      </c>
      <c r="O53" s="3">
        <v>7998407677</v>
      </c>
      <c r="P53" t="s">
        <v>20</v>
      </c>
      <c r="Q53">
        <v>3</v>
      </c>
      <c r="R53" t="s">
        <v>1963</v>
      </c>
    </row>
    <row r="54" spans="1:18" x14ac:dyDescent="0.35">
      <c r="A54" t="s">
        <v>83</v>
      </c>
      <c r="B54" t="s">
        <v>37</v>
      </c>
      <c r="C54" t="s">
        <v>26</v>
      </c>
      <c r="D54" t="s">
        <v>1902</v>
      </c>
      <c r="E54" s="3">
        <v>30</v>
      </c>
      <c r="F54" t="s">
        <v>1815</v>
      </c>
      <c r="G54" t="s">
        <v>1814</v>
      </c>
      <c r="H54" t="s">
        <v>23</v>
      </c>
      <c r="I54" s="1" t="s">
        <v>1101</v>
      </c>
      <c r="J54" s="7">
        <v>1</v>
      </c>
      <c r="K54" s="7">
        <v>2024</v>
      </c>
      <c r="L54" s="3">
        <v>105674.18</v>
      </c>
      <c r="M54" s="9" t="s">
        <v>1960</v>
      </c>
      <c r="N54" s="2" t="s">
        <v>1837</v>
      </c>
      <c r="O54" s="3">
        <v>9973080694</v>
      </c>
      <c r="P54" t="s">
        <v>20</v>
      </c>
      <c r="Q54">
        <v>3</v>
      </c>
      <c r="R54" t="s">
        <v>1963</v>
      </c>
    </row>
    <row r="55" spans="1:18" x14ac:dyDescent="0.35">
      <c r="A55" t="s">
        <v>84</v>
      </c>
      <c r="B55" t="s">
        <v>17</v>
      </c>
      <c r="C55" t="s">
        <v>14</v>
      </c>
      <c r="D55" t="s">
        <v>1907</v>
      </c>
      <c r="E55" s="3">
        <v>30</v>
      </c>
      <c r="F55" t="s">
        <v>1815</v>
      </c>
      <c r="G55" t="s">
        <v>1814</v>
      </c>
      <c r="H55" t="s">
        <v>23</v>
      </c>
      <c r="I55" s="1" t="s">
        <v>1082</v>
      </c>
      <c r="J55" s="7">
        <v>1</v>
      </c>
      <c r="K55" s="7">
        <v>2024</v>
      </c>
      <c r="L55" s="3">
        <v>54859.45</v>
      </c>
      <c r="M55" s="9" t="s">
        <v>1958</v>
      </c>
      <c r="N55" s="2" t="s">
        <v>1842</v>
      </c>
      <c r="O55" s="3">
        <v>8146717956</v>
      </c>
      <c r="P55" t="s">
        <v>12</v>
      </c>
      <c r="Q55">
        <v>2</v>
      </c>
      <c r="R55" t="s">
        <v>1963</v>
      </c>
    </row>
    <row r="56" spans="1:18" x14ac:dyDescent="0.35">
      <c r="A56" t="s">
        <v>85</v>
      </c>
      <c r="B56" t="s">
        <v>25</v>
      </c>
      <c r="C56" t="s">
        <v>10</v>
      </c>
      <c r="D56" t="s">
        <v>1900</v>
      </c>
      <c r="E56" s="3">
        <v>30</v>
      </c>
      <c r="F56" t="s">
        <v>1815</v>
      </c>
      <c r="G56" t="s">
        <v>1818</v>
      </c>
      <c r="H56" t="s">
        <v>19</v>
      </c>
      <c r="I56" s="1" t="s">
        <v>1102</v>
      </c>
      <c r="J56" s="7">
        <v>4</v>
      </c>
      <c r="K56" s="7">
        <v>2021</v>
      </c>
      <c r="L56" s="3">
        <v>115746.6</v>
      </c>
      <c r="M56" s="9" t="s">
        <v>1960</v>
      </c>
      <c r="N56" s="2" t="s">
        <v>1835</v>
      </c>
      <c r="O56" s="3">
        <v>6024375737</v>
      </c>
      <c r="P56" t="s">
        <v>15</v>
      </c>
      <c r="Q56">
        <v>4</v>
      </c>
      <c r="R56" t="s">
        <v>1962</v>
      </c>
    </row>
    <row r="57" spans="1:18" x14ac:dyDescent="0.35">
      <c r="A57" t="s">
        <v>86</v>
      </c>
      <c r="B57" t="s">
        <v>22</v>
      </c>
      <c r="C57" t="s">
        <v>14</v>
      </c>
      <c r="D57" t="s">
        <v>1927</v>
      </c>
      <c r="E57" s="3">
        <v>30</v>
      </c>
      <c r="F57" t="s">
        <v>1821</v>
      </c>
      <c r="G57" t="s">
        <v>1814</v>
      </c>
      <c r="H57" t="s">
        <v>11</v>
      </c>
      <c r="I57" s="1" t="s">
        <v>1103</v>
      </c>
      <c r="J57" s="7">
        <v>5</v>
      </c>
      <c r="K57" s="7">
        <v>2020</v>
      </c>
      <c r="L57" s="3">
        <v>91759.99</v>
      </c>
      <c r="M57" s="9" t="s">
        <v>1960</v>
      </c>
      <c r="N57" s="2" t="s">
        <v>1862</v>
      </c>
      <c r="O57" s="3">
        <v>3959724664</v>
      </c>
      <c r="P57" t="s">
        <v>15</v>
      </c>
      <c r="Q57">
        <v>4</v>
      </c>
      <c r="R57" t="s">
        <v>1962</v>
      </c>
    </row>
    <row r="58" spans="1:18" x14ac:dyDescent="0.35">
      <c r="A58" t="s">
        <v>87</v>
      </c>
      <c r="B58" t="s">
        <v>25</v>
      </c>
      <c r="C58" t="s">
        <v>29</v>
      </c>
      <c r="D58" t="s">
        <v>1932</v>
      </c>
      <c r="E58" s="3">
        <v>40</v>
      </c>
      <c r="F58" t="s">
        <v>1821</v>
      </c>
      <c r="G58" t="s">
        <v>1824</v>
      </c>
      <c r="H58" t="s">
        <v>11</v>
      </c>
      <c r="I58" s="1" t="s">
        <v>1104</v>
      </c>
      <c r="J58" s="7">
        <v>3</v>
      </c>
      <c r="K58" s="7">
        <v>2022</v>
      </c>
      <c r="L58" s="3">
        <v>112965.33</v>
      </c>
      <c r="M58" s="9" t="s">
        <v>1960</v>
      </c>
      <c r="N58" s="2" t="s">
        <v>1867</v>
      </c>
      <c r="O58" s="3">
        <v>7293417222</v>
      </c>
      <c r="P58" t="s">
        <v>20</v>
      </c>
      <c r="Q58">
        <v>3</v>
      </c>
      <c r="R58" t="s">
        <v>1963</v>
      </c>
    </row>
    <row r="59" spans="1:18" x14ac:dyDescent="0.35">
      <c r="A59" t="s">
        <v>88</v>
      </c>
      <c r="B59" t="s">
        <v>17</v>
      </c>
      <c r="C59" t="s">
        <v>62</v>
      </c>
      <c r="D59" t="s">
        <v>1933</v>
      </c>
      <c r="E59" s="3">
        <v>40</v>
      </c>
      <c r="F59" t="s">
        <v>1819</v>
      </c>
      <c r="G59" t="s">
        <v>1824</v>
      </c>
      <c r="H59" t="s">
        <v>19</v>
      </c>
      <c r="I59" s="1" t="s">
        <v>1105</v>
      </c>
      <c r="J59" s="7">
        <v>2</v>
      </c>
      <c r="K59" s="7">
        <v>2023</v>
      </c>
      <c r="L59" s="3">
        <v>100360.1</v>
      </c>
      <c r="M59" s="9" t="s">
        <v>1960</v>
      </c>
      <c r="N59" s="2" t="s">
        <v>1868</v>
      </c>
      <c r="O59" s="3">
        <v>2971674337</v>
      </c>
      <c r="P59" t="s">
        <v>15</v>
      </c>
      <c r="Q59">
        <v>4</v>
      </c>
      <c r="R59" t="s">
        <v>1963</v>
      </c>
    </row>
    <row r="60" spans="1:18" x14ac:dyDescent="0.35">
      <c r="A60" t="s">
        <v>89</v>
      </c>
      <c r="B60" t="s">
        <v>37</v>
      </c>
      <c r="C60" t="s">
        <v>26</v>
      </c>
      <c r="D60" t="s">
        <v>1902</v>
      </c>
      <c r="E60" s="3">
        <v>35</v>
      </c>
      <c r="F60" t="s">
        <v>1815</v>
      </c>
      <c r="G60" t="s">
        <v>1816</v>
      </c>
      <c r="H60" t="s">
        <v>19</v>
      </c>
      <c r="I60" s="1" t="s">
        <v>1106</v>
      </c>
      <c r="J60" s="7">
        <v>4</v>
      </c>
      <c r="K60" s="7">
        <v>2021</v>
      </c>
      <c r="L60" s="3">
        <v>93620.88</v>
      </c>
      <c r="M60" s="9" t="s">
        <v>1960</v>
      </c>
      <c r="N60" s="2" t="s">
        <v>1837</v>
      </c>
      <c r="O60" s="3">
        <v>54522800</v>
      </c>
      <c r="P60" t="s">
        <v>20</v>
      </c>
      <c r="Q60">
        <v>3</v>
      </c>
      <c r="R60" t="s">
        <v>1963</v>
      </c>
    </row>
    <row r="61" spans="1:18" x14ac:dyDescent="0.35">
      <c r="A61" t="s">
        <v>90</v>
      </c>
      <c r="B61" t="s">
        <v>9</v>
      </c>
      <c r="C61" t="s">
        <v>18</v>
      </c>
      <c r="D61" t="s">
        <v>1899</v>
      </c>
      <c r="E61" s="3">
        <v>35</v>
      </c>
      <c r="F61" t="s">
        <v>1821</v>
      </c>
      <c r="G61" t="s">
        <v>1814</v>
      </c>
      <c r="H61" t="s">
        <v>19</v>
      </c>
      <c r="I61" s="1" t="s">
        <v>1107</v>
      </c>
      <c r="J61" s="7">
        <v>3</v>
      </c>
      <c r="K61" s="7">
        <v>2022</v>
      </c>
      <c r="L61" s="3">
        <v>72832.800000000003</v>
      </c>
      <c r="M61" s="9" t="s">
        <v>1959</v>
      </c>
      <c r="N61" s="2" t="s">
        <v>1834</v>
      </c>
      <c r="O61" s="3">
        <v>5619318373</v>
      </c>
      <c r="P61" t="s">
        <v>15</v>
      </c>
      <c r="Q61">
        <v>4</v>
      </c>
      <c r="R61" t="s">
        <v>1962</v>
      </c>
    </row>
    <row r="62" spans="1:18" x14ac:dyDescent="0.35">
      <c r="A62" t="s">
        <v>91</v>
      </c>
      <c r="B62" t="s">
        <v>34</v>
      </c>
      <c r="C62" t="s">
        <v>26</v>
      </c>
      <c r="D62" t="s">
        <v>1910</v>
      </c>
      <c r="E62" s="3">
        <v>30</v>
      </c>
      <c r="F62" t="s">
        <v>1815</v>
      </c>
      <c r="G62" t="s">
        <v>1818</v>
      </c>
      <c r="H62" t="s">
        <v>23</v>
      </c>
      <c r="I62" s="1" t="s">
        <v>1108</v>
      </c>
      <c r="J62" s="7">
        <v>2</v>
      </c>
      <c r="K62" s="7">
        <v>2023</v>
      </c>
      <c r="L62" s="3">
        <v>102369.42</v>
      </c>
      <c r="M62" s="9" t="s">
        <v>1960</v>
      </c>
      <c r="N62" s="2" t="s">
        <v>1845</v>
      </c>
      <c r="O62" s="3">
        <v>5508428909</v>
      </c>
      <c r="P62" t="s">
        <v>12</v>
      </c>
      <c r="Q62">
        <v>2</v>
      </c>
      <c r="R62" t="s">
        <v>1962</v>
      </c>
    </row>
    <row r="63" spans="1:18" x14ac:dyDescent="0.35">
      <c r="A63" t="s">
        <v>92</v>
      </c>
      <c r="B63" t="s">
        <v>22</v>
      </c>
      <c r="C63" t="s">
        <v>10</v>
      </c>
      <c r="D63" t="s">
        <v>1895</v>
      </c>
      <c r="E63" s="3">
        <v>40</v>
      </c>
      <c r="F63" t="s">
        <v>1821</v>
      </c>
      <c r="G63" t="s">
        <v>1816</v>
      </c>
      <c r="H63" t="s">
        <v>23</v>
      </c>
      <c r="I63" s="1" t="s">
        <v>1109</v>
      </c>
      <c r="J63" s="7">
        <v>4</v>
      </c>
      <c r="K63" s="7">
        <v>2021</v>
      </c>
      <c r="L63" s="3">
        <v>64712.79</v>
      </c>
      <c r="M63" s="9" t="s">
        <v>1959</v>
      </c>
      <c r="N63" s="2" t="s">
        <v>1830</v>
      </c>
      <c r="O63" s="3">
        <v>7711991807</v>
      </c>
      <c r="P63" t="s">
        <v>15</v>
      </c>
      <c r="Q63">
        <v>4</v>
      </c>
      <c r="R63" t="s">
        <v>1962</v>
      </c>
    </row>
    <row r="64" spans="1:18" x14ac:dyDescent="0.35">
      <c r="A64" t="s">
        <v>93</v>
      </c>
      <c r="B64" t="s">
        <v>25</v>
      </c>
      <c r="C64" t="s">
        <v>18</v>
      </c>
      <c r="D64" t="s">
        <v>1898</v>
      </c>
      <c r="E64" s="3">
        <v>40</v>
      </c>
      <c r="F64" t="s">
        <v>1815</v>
      </c>
      <c r="G64" t="s">
        <v>1820</v>
      </c>
      <c r="H64" t="s">
        <v>19</v>
      </c>
      <c r="I64" s="1" t="s">
        <v>1110</v>
      </c>
      <c r="J64" s="7">
        <v>4</v>
      </c>
      <c r="K64" s="7">
        <v>2021</v>
      </c>
      <c r="L64" s="3">
        <v>85782.18</v>
      </c>
      <c r="M64" s="9" t="s">
        <v>1960</v>
      </c>
      <c r="N64" s="2" t="s">
        <v>1833</v>
      </c>
      <c r="O64" s="3">
        <v>1213524786</v>
      </c>
      <c r="P64" t="s">
        <v>15</v>
      </c>
      <c r="Q64">
        <v>4</v>
      </c>
      <c r="R64" t="s">
        <v>1962</v>
      </c>
    </row>
    <row r="65" spans="1:18" x14ac:dyDescent="0.35">
      <c r="A65" t="s">
        <v>94</v>
      </c>
      <c r="B65" t="s">
        <v>34</v>
      </c>
      <c r="C65" t="s">
        <v>62</v>
      </c>
      <c r="D65" t="s">
        <v>1934</v>
      </c>
      <c r="E65" s="3">
        <v>25</v>
      </c>
      <c r="F65" t="s">
        <v>1823</v>
      </c>
      <c r="G65" t="s">
        <v>1824</v>
      </c>
      <c r="H65" t="s">
        <v>19</v>
      </c>
      <c r="I65" s="1" t="s">
        <v>1111</v>
      </c>
      <c r="J65" s="7">
        <v>2</v>
      </c>
      <c r="K65" s="7">
        <v>2023</v>
      </c>
      <c r="L65" s="3">
        <v>93348.26</v>
      </c>
      <c r="M65" s="9" t="s">
        <v>1960</v>
      </c>
      <c r="N65" s="2" t="s">
        <v>1869</v>
      </c>
      <c r="O65" s="3">
        <v>1255213759</v>
      </c>
      <c r="P65" t="s">
        <v>27</v>
      </c>
      <c r="Q65">
        <v>1</v>
      </c>
      <c r="R65" t="s">
        <v>1963</v>
      </c>
    </row>
    <row r="66" spans="1:18" x14ac:dyDescent="0.35">
      <c r="A66" t="s">
        <v>95</v>
      </c>
      <c r="B66" t="s">
        <v>37</v>
      </c>
      <c r="C66" t="s">
        <v>10</v>
      </c>
      <c r="D66" t="s">
        <v>1903</v>
      </c>
      <c r="E66" s="3">
        <v>35</v>
      </c>
      <c r="F66" t="s">
        <v>1817</v>
      </c>
      <c r="G66" t="s">
        <v>1822</v>
      </c>
      <c r="H66" t="s">
        <v>11</v>
      </c>
      <c r="I66" s="1" t="s">
        <v>1112</v>
      </c>
      <c r="J66" s="7">
        <v>5</v>
      </c>
      <c r="K66" s="7">
        <v>2020</v>
      </c>
      <c r="L66" s="3">
        <v>53234.96</v>
      </c>
      <c r="M66" s="9" t="s">
        <v>1958</v>
      </c>
      <c r="N66" s="2" t="s">
        <v>1838</v>
      </c>
      <c r="O66" s="3">
        <v>3754821455</v>
      </c>
      <c r="P66" t="s">
        <v>20</v>
      </c>
      <c r="Q66">
        <v>3</v>
      </c>
      <c r="R66" t="s">
        <v>1963</v>
      </c>
    </row>
    <row r="67" spans="1:18" x14ac:dyDescent="0.35">
      <c r="A67" t="s">
        <v>96</v>
      </c>
      <c r="B67" t="s">
        <v>9</v>
      </c>
      <c r="C67" t="s">
        <v>35</v>
      </c>
      <c r="D67" t="s">
        <v>1935</v>
      </c>
      <c r="E67" s="3">
        <v>40</v>
      </c>
      <c r="F67" t="s">
        <v>1815</v>
      </c>
      <c r="G67" t="s">
        <v>1818</v>
      </c>
      <c r="H67" t="s">
        <v>19</v>
      </c>
      <c r="I67" s="1" t="s">
        <v>1113</v>
      </c>
      <c r="J67" s="7">
        <v>4</v>
      </c>
      <c r="K67" s="7">
        <v>2021</v>
      </c>
      <c r="L67" s="3">
        <v>100284.21</v>
      </c>
      <c r="M67" s="9" t="s">
        <v>1960</v>
      </c>
      <c r="N67" s="2" t="s">
        <v>1870</v>
      </c>
      <c r="O67" s="3">
        <v>5328632665</v>
      </c>
      <c r="P67" t="s">
        <v>15</v>
      </c>
      <c r="Q67">
        <v>4</v>
      </c>
      <c r="R67" t="s">
        <v>1963</v>
      </c>
    </row>
    <row r="68" spans="1:18" x14ac:dyDescent="0.35">
      <c r="A68" t="s">
        <v>97</v>
      </c>
      <c r="B68" t="s">
        <v>42</v>
      </c>
      <c r="C68" t="s">
        <v>14</v>
      </c>
      <c r="D68" t="s">
        <v>1936</v>
      </c>
      <c r="E68" s="3">
        <v>30</v>
      </c>
      <c r="F68" t="s">
        <v>1817</v>
      </c>
      <c r="G68" t="s">
        <v>1818</v>
      </c>
      <c r="H68" t="s">
        <v>19</v>
      </c>
      <c r="I68" s="1" t="s">
        <v>1114</v>
      </c>
      <c r="J68" s="7">
        <v>4</v>
      </c>
      <c r="K68" s="7">
        <v>2020</v>
      </c>
      <c r="L68" s="3">
        <v>112486.19</v>
      </c>
      <c r="M68" s="9" t="s">
        <v>1960</v>
      </c>
      <c r="N68" s="2" t="s">
        <v>1871</v>
      </c>
      <c r="O68" s="3">
        <v>7850720810</v>
      </c>
      <c r="P68" t="s">
        <v>15</v>
      </c>
      <c r="Q68">
        <v>4</v>
      </c>
      <c r="R68" t="s">
        <v>1962</v>
      </c>
    </row>
    <row r="69" spans="1:18" x14ac:dyDescent="0.35">
      <c r="A69" t="s">
        <v>98</v>
      </c>
      <c r="B69" t="s">
        <v>9</v>
      </c>
      <c r="C69" t="s">
        <v>62</v>
      </c>
      <c r="D69" t="s">
        <v>1917</v>
      </c>
      <c r="E69" s="3">
        <v>40</v>
      </c>
      <c r="F69" t="s">
        <v>1817</v>
      </c>
      <c r="G69" t="s">
        <v>1822</v>
      </c>
      <c r="H69" t="s">
        <v>19</v>
      </c>
      <c r="I69" s="1" t="s">
        <v>1115</v>
      </c>
      <c r="J69" s="7">
        <v>2</v>
      </c>
      <c r="K69" s="7">
        <v>2022</v>
      </c>
      <c r="L69" s="3">
        <v>82518.490000000005</v>
      </c>
      <c r="M69" s="9" t="s">
        <v>1959</v>
      </c>
      <c r="N69" s="2" t="s">
        <v>1852</v>
      </c>
      <c r="O69" s="3">
        <v>5562606028</v>
      </c>
      <c r="P69" t="s">
        <v>27</v>
      </c>
      <c r="Q69">
        <v>1</v>
      </c>
      <c r="R69" t="s">
        <v>1962</v>
      </c>
    </row>
    <row r="70" spans="1:18" x14ac:dyDescent="0.35">
      <c r="A70" t="s">
        <v>99</v>
      </c>
      <c r="B70" t="s">
        <v>9</v>
      </c>
      <c r="C70" t="s">
        <v>14</v>
      </c>
      <c r="D70" t="s">
        <v>1893</v>
      </c>
      <c r="E70" s="3">
        <v>40</v>
      </c>
      <c r="F70" t="s">
        <v>1817</v>
      </c>
      <c r="G70" t="s">
        <v>1820</v>
      </c>
      <c r="H70" t="s">
        <v>19</v>
      </c>
      <c r="I70" s="1" t="s">
        <v>1116</v>
      </c>
      <c r="J70" s="7">
        <v>2</v>
      </c>
      <c r="K70" s="7">
        <v>2022</v>
      </c>
      <c r="L70" s="3">
        <v>119152.47</v>
      </c>
      <c r="M70" s="9" t="s">
        <v>1960</v>
      </c>
      <c r="N70" s="2" t="s">
        <v>1828</v>
      </c>
      <c r="O70" s="3">
        <v>846684549</v>
      </c>
      <c r="P70" t="s">
        <v>27</v>
      </c>
      <c r="Q70">
        <v>1</v>
      </c>
      <c r="R70" t="s">
        <v>1962</v>
      </c>
    </row>
    <row r="71" spans="1:18" x14ac:dyDescent="0.35">
      <c r="A71" t="s">
        <v>100</v>
      </c>
      <c r="B71" t="s">
        <v>40</v>
      </c>
      <c r="C71" t="s">
        <v>50</v>
      </c>
      <c r="D71" t="s">
        <v>1920</v>
      </c>
      <c r="E71" s="3">
        <v>30</v>
      </c>
      <c r="F71" t="s">
        <v>1813</v>
      </c>
      <c r="G71" t="s">
        <v>1824</v>
      </c>
      <c r="H71" t="s">
        <v>23</v>
      </c>
      <c r="I71" s="1" t="s">
        <v>1117</v>
      </c>
      <c r="J71" s="7">
        <v>1</v>
      </c>
      <c r="K71" s="7">
        <v>2024</v>
      </c>
      <c r="L71" s="3">
        <v>113479.83</v>
      </c>
      <c r="M71" s="9" t="s">
        <v>1960</v>
      </c>
      <c r="N71" s="2" t="s">
        <v>1855</v>
      </c>
      <c r="O71" s="3">
        <v>4892673898</v>
      </c>
      <c r="P71" t="s">
        <v>20</v>
      </c>
      <c r="Q71">
        <v>3</v>
      </c>
      <c r="R71" t="s">
        <v>1963</v>
      </c>
    </row>
    <row r="72" spans="1:18" x14ac:dyDescent="0.35">
      <c r="A72" t="s">
        <v>101</v>
      </c>
      <c r="B72" t="s">
        <v>34</v>
      </c>
      <c r="C72" t="s">
        <v>35</v>
      </c>
      <c r="D72" t="s">
        <v>1901</v>
      </c>
      <c r="E72" s="3">
        <v>40</v>
      </c>
      <c r="F72" t="s">
        <v>1815</v>
      </c>
      <c r="G72" t="s">
        <v>1814</v>
      </c>
      <c r="H72" t="s">
        <v>11</v>
      </c>
      <c r="I72" s="1" t="s">
        <v>1118</v>
      </c>
      <c r="J72" s="7">
        <v>1</v>
      </c>
      <c r="K72" s="7">
        <v>2024</v>
      </c>
      <c r="L72" s="3">
        <v>94636.3</v>
      </c>
      <c r="M72" s="9" t="s">
        <v>1960</v>
      </c>
      <c r="N72" s="2" t="s">
        <v>1836</v>
      </c>
      <c r="O72" s="3">
        <v>7563410855</v>
      </c>
      <c r="P72" t="s">
        <v>27</v>
      </c>
      <c r="Q72">
        <v>1</v>
      </c>
      <c r="R72" t="s">
        <v>1963</v>
      </c>
    </row>
    <row r="73" spans="1:18" x14ac:dyDescent="0.35">
      <c r="A73" t="s">
        <v>102</v>
      </c>
      <c r="B73" t="s">
        <v>40</v>
      </c>
      <c r="C73" t="s">
        <v>35</v>
      </c>
      <c r="D73" t="s">
        <v>1915</v>
      </c>
      <c r="E73" s="3">
        <v>30</v>
      </c>
      <c r="F73" t="s">
        <v>1823</v>
      </c>
      <c r="G73" t="s">
        <v>1820</v>
      </c>
      <c r="H73" t="s">
        <v>11</v>
      </c>
      <c r="I73" s="1" t="s">
        <v>1119</v>
      </c>
      <c r="J73" s="7">
        <v>1</v>
      </c>
      <c r="K73" s="7">
        <v>2024</v>
      </c>
      <c r="L73" s="3">
        <v>70000.97</v>
      </c>
      <c r="M73" s="9" t="s">
        <v>1959</v>
      </c>
      <c r="N73" s="2" t="s">
        <v>1850</v>
      </c>
      <c r="O73" s="3">
        <v>2884318847</v>
      </c>
      <c r="P73" t="s">
        <v>12</v>
      </c>
      <c r="Q73">
        <v>2</v>
      </c>
      <c r="R73" t="s">
        <v>1962</v>
      </c>
    </row>
    <row r="74" spans="1:18" x14ac:dyDescent="0.35">
      <c r="A74" t="s">
        <v>103</v>
      </c>
      <c r="B74" t="s">
        <v>25</v>
      </c>
      <c r="C74" t="s">
        <v>62</v>
      </c>
      <c r="D74" t="s">
        <v>1922</v>
      </c>
      <c r="E74" s="3">
        <v>30</v>
      </c>
      <c r="F74" t="s">
        <v>1819</v>
      </c>
      <c r="G74" t="s">
        <v>1822</v>
      </c>
      <c r="H74" t="s">
        <v>11</v>
      </c>
      <c r="I74" s="1" t="s">
        <v>1120</v>
      </c>
      <c r="J74" s="7">
        <v>4</v>
      </c>
      <c r="K74" s="7">
        <v>2021</v>
      </c>
      <c r="L74" s="3">
        <v>76812.47</v>
      </c>
      <c r="M74" s="9" t="s">
        <v>1959</v>
      </c>
      <c r="N74" s="2" t="s">
        <v>1857</v>
      </c>
      <c r="O74" s="3">
        <v>5200894345</v>
      </c>
      <c r="P74" t="s">
        <v>27</v>
      </c>
      <c r="Q74">
        <v>1</v>
      </c>
      <c r="R74" t="s">
        <v>1963</v>
      </c>
    </row>
    <row r="75" spans="1:18" x14ac:dyDescent="0.35">
      <c r="A75" t="s">
        <v>104</v>
      </c>
      <c r="B75" t="s">
        <v>37</v>
      </c>
      <c r="C75" t="s">
        <v>35</v>
      </c>
      <c r="D75" t="s">
        <v>1937</v>
      </c>
      <c r="E75" s="3">
        <v>25</v>
      </c>
      <c r="F75" t="s">
        <v>1815</v>
      </c>
      <c r="G75" t="s">
        <v>1820</v>
      </c>
      <c r="H75" t="s">
        <v>23</v>
      </c>
      <c r="I75" s="1" t="s">
        <v>1121</v>
      </c>
      <c r="J75" s="7">
        <v>2</v>
      </c>
      <c r="K75" s="7">
        <v>2023</v>
      </c>
      <c r="L75" s="3">
        <v>82614.7</v>
      </c>
      <c r="M75" s="9" t="s">
        <v>1959</v>
      </c>
      <c r="N75" s="2" t="s">
        <v>1872</v>
      </c>
      <c r="O75" s="3">
        <v>8105485100</v>
      </c>
      <c r="P75" t="s">
        <v>12</v>
      </c>
      <c r="Q75">
        <v>2</v>
      </c>
      <c r="R75" t="s">
        <v>1962</v>
      </c>
    </row>
    <row r="76" spans="1:18" x14ac:dyDescent="0.35">
      <c r="A76" t="s">
        <v>105</v>
      </c>
      <c r="B76" t="s">
        <v>42</v>
      </c>
      <c r="C76" t="s">
        <v>18</v>
      </c>
      <c r="D76" t="s">
        <v>1906</v>
      </c>
      <c r="E76" s="3">
        <v>40</v>
      </c>
      <c r="F76" t="s">
        <v>1821</v>
      </c>
      <c r="G76" t="s">
        <v>1818</v>
      </c>
      <c r="H76" t="s">
        <v>11</v>
      </c>
      <c r="I76" s="1" t="s">
        <v>1122</v>
      </c>
      <c r="J76" s="7">
        <v>1</v>
      </c>
      <c r="K76" s="7">
        <v>2024</v>
      </c>
      <c r="L76" s="3">
        <v>111645.97</v>
      </c>
      <c r="M76" s="9" t="s">
        <v>1960</v>
      </c>
      <c r="N76" s="2" t="s">
        <v>1841</v>
      </c>
      <c r="O76" s="3">
        <v>7490753997</v>
      </c>
      <c r="P76" t="s">
        <v>20</v>
      </c>
      <c r="Q76">
        <v>3</v>
      </c>
      <c r="R76" t="s">
        <v>1962</v>
      </c>
    </row>
    <row r="77" spans="1:18" x14ac:dyDescent="0.35">
      <c r="A77" t="s">
        <v>106</v>
      </c>
      <c r="B77" t="s">
        <v>40</v>
      </c>
      <c r="C77" t="s">
        <v>35</v>
      </c>
      <c r="D77" t="s">
        <v>1915</v>
      </c>
      <c r="E77" s="3">
        <v>25</v>
      </c>
      <c r="F77" t="s">
        <v>1823</v>
      </c>
      <c r="G77" t="s">
        <v>1814</v>
      </c>
      <c r="H77" t="s">
        <v>23</v>
      </c>
      <c r="I77" s="1" t="s">
        <v>1123</v>
      </c>
      <c r="J77" s="7">
        <v>1</v>
      </c>
      <c r="K77" s="7">
        <v>2024</v>
      </c>
      <c r="L77" s="3">
        <v>112414.91</v>
      </c>
      <c r="M77" s="9" t="s">
        <v>1960</v>
      </c>
      <c r="N77" s="2" t="s">
        <v>1850</v>
      </c>
      <c r="O77" s="3">
        <v>9354492682</v>
      </c>
      <c r="P77" t="s">
        <v>20</v>
      </c>
      <c r="Q77">
        <v>3</v>
      </c>
      <c r="R77" t="s">
        <v>1963</v>
      </c>
    </row>
    <row r="78" spans="1:18" x14ac:dyDescent="0.35">
      <c r="A78" t="s">
        <v>107</v>
      </c>
      <c r="B78" t="s">
        <v>37</v>
      </c>
      <c r="C78" t="s">
        <v>14</v>
      </c>
      <c r="D78" t="s">
        <v>1938</v>
      </c>
      <c r="E78" s="3">
        <v>40</v>
      </c>
      <c r="F78" t="s">
        <v>1817</v>
      </c>
      <c r="G78" t="s">
        <v>1814</v>
      </c>
      <c r="H78" t="s">
        <v>23</v>
      </c>
      <c r="I78" s="1" t="s">
        <v>1124</v>
      </c>
      <c r="J78" s="7">
        <v>3</v>
      </c>
      <c r="K78" s="7">
        <v>2022</v>
      </c>
      <c r="L78" s="3">
        <v>52031.74</v>
      </c>
      <c r="M78" s="9" t="s">
        <v>1958</v>
      </c>
      <c r="N78" s="2" t="s">
        <v>1873</v>
      </c>
      <c r="O78" s="3">
        <v>1589357125</v>
      </c>
      <c r="P78" t="s">
        <v>20</v>
      </c>
      <c r="Q78">
        <v>3</v>
      </c>
      <c r="R78" t="s">
        <v>1962</v>
      </c>
    </row>
    <row r="79" spans="1:18" x14ac:dyDescent="0.35">
      <c r="A79" t="s">
        <v>108</v>
      </c>
      <c r="B79" t="s">
        <v>42</v>
      </c>
      <c r="C79" t="s">
        <v>14</v>
      </c>
      <c r="D79" t="s">
        <v>1936</v>
      </c>
      <c r="E79" s="3">
        <v>30</v>
      </c>
      <c r="F79" t="s">
        <v>1815</v>
      </c>
      <c r="G79" t="s">
        <v>1822</v>
      </c>
      <c r="H79" t="s">
        <v>19</v>
      </c>
      <c r="I79" s="1" t="s">
        <v>1125</v>
      </c>
      <c r="J79" s="7">
        <v>2</v>
      </c>
      <c r="K79" s="7">
        <v>2022</v>
      </c>
      <c r="L79" s="3">
        <v>51887.65</v>
      </c>
      <c r="M79" s="9" t="s">
        <v>1958</v>
      </c>
      <c r="N79" s="2" t="s">
        <v>1871</v>
      </c>
      <c r="O79" s="3">
        <v>6110627370</v>
      </c>
      <c r="P79" t="s">
        <v>20</v>
      </c>
      <c r="Q79">
        <v>3</v>
      </c>
      <c r="R79" t="s">
        <v>1963</v>
      </c>
    </row>
    <row r="80" spans="1:18" x14ac:dyDescent="0.35">
      <c r="A80" t="s">
        <v>109</v>
      </c>
      <c r="B80" t="s">
        <v>17</v>
      </c>
      <c r="C80" t="s">
        <v>10</v>
      </c>
      <c r="D80" t="s">
        <v>1928</v>
      </c>
      <c r="E80" s="3">
        <v>25</v>
      </c>
      <c r="F80" t="s">
        <v>1813</v>
      </c>
      <c r="G80" t="s">
        <v>1820</v>
      </c>
      <c r="H80" t="s">
        <v>11</v>
      </c>
      <c r="I80" s="1" t="s">
        <v>1126</v>
      </c>
      <c r="J80" s="7">
        <v>1</v>
      </c>
      <c r="K80" s="7">
        <v>2024</v>
      </c>
      <c r="L80" s="3">
        <v>82318.89</v>
      </c>
      <c r="M80" s="9" t="s">
        <v>1959</v>
      </c>
      <c r="N80" s="2" t="s">
        <v>1863</v>
      </c>
      <c r="O80" s="3">
        <v>5869886496</v>
      </c>
      <c r="P80" t="s">
        <v>20</v>
      </c>
      <c r="Q80">
        <v>3</v>
      </c>
      <c r="R80" t="s">
        <v>1962</v>
      </c>
    </row>
    <row r="81" spans="1:18" x14ac:dyDescent="0.35">
      <c r="A81" t="s">
        <v>110</v>
      </c>
      <c r="B81" t="s">
        <v>42</v>
      </c>
      <c r="C81" t="s">
        <v>14</v>
      </c>
      <c r="D81" t="s">
        <v>1936</v>
      </c>
      <c r="E81" s="3">
        <v>35</v>
      </c>
      <c r="F81" t="s">
        <v>1817</v>
      </c>
      <c r="G81" t="s">
        <v>1820</v>
      </c>
      <c r="H81" t="s">
        <v>23</v>
      </c>
      <c r="I81" s="1" t="s">
        <v>1127</v>
      </c>
      <c r="J81" s="7">
        <v>4</v>
      </c>
      <c r="K81" s="7">
        <v>2021</v>
      </c>
      <c r="L81" s="3">
        <v>103286.08</v>
      </c>
      <c r="M81" s="9" t="s">
        <v>1960</v>
      </c>
      <c r="N81" s="2" t="s">
        <v>1871</v>
      </c>
      <c r="O81" s="3">
        <v>6776228276</v>
      </c>
      <c r="P81" t="s">
        <v>12</v>
      </c>
      <c r="Q81">
        <v>2</v>
      </c>
      <c r="R81" t="s">
        <v>1963</v>
      </c>
    </row>
    <row r="82" spans="1:18" x14ac:dyDescent="0.35">
      <c r="A82" t="s">
        <v>111</v>
      </c>
      <c r="B82" t="s">
        <v>42</v>
      </c>
      <c r="C82" t="s">
        <v>10</v>
      </c>
      <c r="D82" t="s">
        <v>1939</v>
      </c>
      <c r="E82" s="3">
        <v>35</v>
      </c>
      <c r="F82" t="s">
        <v>1819</v>
      </c>
      <c r="G82" t="s">
        <v>1820</v>
      </c>
      <c r="H82" t="s">
        <v>11</v>
      </c>
      <c r="I82" s="1" t="s">
        <v>1128</v>
      </c>
      <c r="J82" s="7">
        <v>1</v>
      </c>
      <c r="K82" s="7">
        <v>2024</v>
      </c>
      <c r="L82" s="3">
        <v>87759.33</v>
      </c>
      <c r="M82" s="9" t="s">
        <v>1960</v>
      </c>
      <c r="N82" s="2" t="s">
        <v>1874</v>
      </c>
      <c r="O82" s="3">
        <v>2881377027</v>
      </c>
      <c r="P82" t="s">
        <v>12</v>
      </c>
      <c r="Q82">
        <v>2</v>
      </c>
      <c r="R82" t="s">
        <v>1963</v>
      </c>
    </row>
    <row r="83" spans="1:18" x14ac:dyDescent="0.35">
      <c r="A83" t="s">
        <v>112</v>
      </c>
      <c r="B83" t="s">
        <v>25</v>
      </c>
      <c r="C83" t="s">
        <v>14</v>
      </c>
      <c r="D83" t="s">
        <v>1940</v>
      </c>
      <c r="E83" s="3">
        <v>30</v>
      </c>
      <c r="F83" t="s">
        <v>1813</v>
      </c>
      <c r="G83" t="s">
        <v>1816</v>
      </c>
      <c r="H83" t="s">
        <v>19</v>
      </c>
      <c r="I83" s="1" t="s">
        <v>1129</v>
      </c>
      <c r="J83" s="7">
        <v>5</v>
      </c>
      <c r="K83" s="7">
        <v>2020</v>
      </c>
      <c r="L83" s="3">
        <v>102796.32</v>
      </c>
      <c r="M83" s="9" t="s">
        <v>1960</v>
      </c>
      <c r="N83" s="2" t="s">
        <v>1875</v>
      </c>
      <c r="O83" s="3">
        <v>5196115939</v>
      </c>
      <c r="P83" t="s">
        <v>20</v>
      </c>
      <c r="Q83">
        <v>3</v>
      </c>
      <c r="R83" t="s">
        <v>1963</v>
      </c>
    </row>
    <row r="84" spans="1:18" x14ac:dyDescent="0.35">
      <c r="A84" t="s">
        <v>113</v>
      </c>
      <c r="B84" t="s">
        <v>37</v>
      </c>
      <c r="C84" t="s">
        <v>18</v>
      </c>
      <c r="D84" t="s">
        <v>1941</v>
      </c>
      <c r="E84" s="3">
        <v>25</v>
      </c>
      <c r="F84" t="s">
        <v>1821</v>
      </c>
      <c r="G84" t="s">
        <v>1822</v>
      </c>
      <c r="H84" t="s">
        <v>11</v>
      </c>
      <c r="I84" s="1" t="s">
        <v>1130</v>
      </c>
      <c r="J84" s="7">
        <v>5</v>
      </c>
      <c r="K84" s="7">
        <v>2020</v>
      </c>
      <c r="L84" s="3">
        <v>83149.27</v>
      </c>
      <c r="M84" s="9" t="s">
        <v>1959</v>
      </c>
      <c r="N84" s="2" t="s">
        <v>1876</v>
      </c>
      <c r="O84" s="3">
        <v>8215454469</v>
      </c>
      <c r="P84" t="s">
        <v>27</v>
      </c>
      <c r="Q84">
        <v>1</v>
      </c>
      <c r="R84" t="s">
        <v>1962</v>
      </c>
    </row>
    <row r="85" spans="1:18" x14ac:dyDescent="0.35">
      <c r="A85" t="s">
        <v>114</v>
      </c>
      <c r="B85" t="s">
        <v>37</v>
      </c>
      <c r="C85" t="s">
        <v>29</v>
      </c>
      <c r="D85" t="s">
        <v>1912</v>
      </c>
      <c r="E85" s="3">
        <v>40</v>
      </c>
      <c r="F85" t="s">
        <v>1813</v>
      </c>
      <c r="G85" t="s">
        <v>1814</v>
      </c>
      <c r="H85" t="s">
        <v>23</v>
      </c>
      <c r="I85" s="1" t="s">
        <v>1131</v>
      </c>
      <c r="J85" s="7">
        <v>5</v>
      </c>
      <c r="K85" s="7">
        <v>2020</v>
      </c>
      <c r="L85" s="3">
        <v>92412.49</v>
      </c>
      <c r="M85" s="9" t="s">
        <v>1960</v>
      </c>
      <c r="N85" s="2" t="s">
        <v>1847</v>
      </c>
      <c r="O85" s="3">
        <v>2296044326</v>
      </c>
      <c r="P85" t="s">
        <v>15</v>
      </c>
      <c r="Q85">
        <v>4</v>
      </c>
      <c r="R85" t="s">
        <v>1962</v>
      </c>
    </row>
    <row r="86" spans="1:18" x14ac:dyDescent="0.35">
      <c r="A86" t="s">
        <v>115</v>
      </c>
      <c r="B86" t="s">
        <v>9</v>
      </c>
      <c r="C86" t="s">
        <v>10</v>
      </c>
      <c r="D86" t="s">
        <v>1892</v>
      </c>
      <c r="E86" s="3">
        <v>30</v>
      </c>
      <c r="F86" t="s">
        <v>1823</v>
      </c>
      <c r="G86" t="s">
        <v>1816</v>
      </c>
      <c r="H86" t="s">
        <v>19</v>
      </c>
      <c r="I86" s="1" t="s">
        <v>1132</v>
      </c>
      <c r="J86" s="7">
        <v>5</v>
      </c>
      <c r="K86" s="7">
        <v>2020</v>
      </c>
      <c r="L86" s="3">
        <v>115022.1</v>
      </c>
      <c r="M86" s="9" t="s">
        <v>1960</v>
      </c>
      <c r="N86" s="2" t="s">
        <v>1827</v>
      </c>
      <c r="O86" s="3">
        <v>185106793</v>
      </c>
      <c r="P86" t="s">
        <v>20</v>
      </c>
      <c r="Q86">
        <v>3</v>
      </c>
      <c r="R86" t="s">
        <v>1963</v>
      </c>
    </row>
    <row r="87" spans="1:18" x14ac:dyDescent="0.35">
      <c r="A87" t="s">
        <v>116</v>
      </c>
      <c r="B87" t="s">
        <v>42</v>
      </c>
      <c r="C87" t="s">
        <v>26</v>
      </c>
      <c r="D87" t="s">
        <v>1905</v>
      </c>
      <c r="E87" s="3">
        <v>40</v>
      </c>
      <c r="F87" t="s">
        <v>1813</v>
      </c>
      <c r="G87" t="s">
        <v>1822</v>
      </c>
      <c r="H87" t="s">
        <v>11</v>
      </c>
      <c r="I87" s="1" t="s">
        <v>1133</v>
      </c>
      <c r="J87" s="7">
        <v>2</v>
      </c>
      <c r="K87" s="7">
        <v>2023</v>
      </c>
      <c r="L87" s="3">
        <v>98343.01</v>
      </c>
      <c r="M87" s="9" t="s">
        <v>1960</v>
      </c>
      <c r="N87" s="2" t="s">
        <v>1840</v>
      </c>
      <c r="O87" s="3">
        <v>9756792286</v>
      </c>
      <c r="P87" t="s">
        <v>27</v>
      </c>
      <c r="Q87">
        <v>1</v>
      </c>
      <c r="R87" t="s">
        <v>1963</v>
      </c>
    </row>
    <row r="88" spans="1:18" x14ac:dyDescent="0.35">
      <c r="A88" t="s">
        <v>117</v>
      </c>
      <c r="B88" t="s">
        <v>9</v>
      </c>
      <c r="C88" t="s">
        <v>50</v>
      </c>
      <c r="D88" t="s">
        <v>1911</v>
      </c>
      <c r="E88" s="3">
        <v>35</v>
      </c>
      <c r="F88" t="s">
        <v>1813</v>
      </c>
      <c r="G88" t="s">
        <v>1824</v>
      </c>
      <c r="H88" t="s">
        <v>11</v>
      </c>
      <c r="I88" s="1" t="s">
        <v>1134</v>
      </c>
      <c r="J88" s="7">
        <v>1</v>
      </c>
      <c r="K88" s="7">
        <v>2024</v>
      </c>
      <c r="L88" s="3">
        <v>118869.1</v>
      </c>
      <c r="M88" s="9" t="s">
        <v>1960</v>
      </c>
      <c r="N88" s="2" t="s">
        <v>1846</v>
      </c>
      <c r="O88" s="3">
        <v>7725199662</v>
      </c>
      <c r="P88" t="s">
        <v>15</v>
      </c>
      <c r="Q88">
        <v>4</v>
      </c>
      <c r="R88" t="s">
        <v>1962</v>
      </c>
    </row>
    <row r="89" spans="1:18" x14ac:dyDescent="0.35">
      <c r="A89" t="s">
        <v>118</v>
      </c>
      <c r="B89" t="s">
        <v>25</v>
      </c>
      <c r="C89" t="s">
        <v>62</v>
      </c>
      <c r="D89" t="s">
        <v>1922</v>
      </c>
      <c r="E89" s="3">
        <v>30</v>
      </c>
      <c r="F89" t="s">
        <v>1815</v>
      </c>
      <c r="G89" t="s">
        <v>1818</v>
      </c>
      <c r="H89" t="s">
        <v>23</v>
      </c>
      <c r="I89" s="1" t="s">
        <v>1135</v>
      </c>
      <c r="J89" s="7">
        <v>5</v>
      </c>
      <c r="K89" s="7">
        <v>2020</v>
      </c>
      <c r="L89" s="3">
        <v>85417.26</v>
      </c>
      <c r="M89" s="9" t="s">
        <v>1960</v>
      </c>
      <c r="N89" s="2" t="s">
        <v>1857</v>
      </c>
      <c r="O89" s="3">
        <v>6580741208</v>
      </c>
      <c r="P89" t="s">
        <v>20</v>
      </c>
      <c r="Q89">
        <v>3</v>
      </c>
      <c r="R89" t="s">
        <v>1962</v>
      </c>
    </row>
    <row r="90" spans="1:18" x14ac:dyDescent="0.35">
      <c r="A90" t="s">
        <v>119</v>
      </c>
      <c r="B90" t="s">
        <v>42</v>
      </c>
      <c r="C90" t="s">
        <v>14</v>
      </c>
      <c r="D90" t="s">
        <v>1936</v>
      </c>
      <c r="E90" s="3">
        <v>40</v>
      </c>
      <c r="F90" t="s">
        <v>1819</v>
      </c>
      <c r="G90" t="s">
        <v>1820</v>
      </c>
      <c r="H90" t="s">
        <v>23</v>
      </c>
      <c r="I90" s="1" t="s">
        <v>1136</v>
      </c>
      <c r="J90" s="7">
        <v>2</v>
      </c>
      <c r="K90" s="7">
        <v>2023</v>
      </c>
      <c r="L90" s="3">
        <v>112410.25</v>
      </c>
      <c r="M90" s="9" t="s">
        <v>1960</v>
      </c>
      <c r="N90" s="2" t="s">
        <v>1871</v>
      </c>
      <c r="O90" s="3">
        <v>4818139889</v>
      </c>
      <c r="P90" t="s">
        <v>20</v>
      </c>
      <c r="Q90">
        <v>3</v>
      </c>
      <c r="R90" t="s">
        <v>1962</v>
      </c>
    </row>
    <row r="91" spans="1:18" x14ac:dyDescent="0.35">
      <c r="A91" t="s">
        <v>120</v>
      </c>
      <c r="B91" t="s">
        <v>34</v>
      </c>
      <c r="C91" t="s">
        <v>35</v>
      </c>
      <c r="D91" t="s">
        <v>1901</v>
      </c>
      <c r="E91" s="3">
        <v>40</v>
      </c>
      <c r="F91" t="s">
        <v>1817</v>
      </c>
      <c r="G91" t="s">
        <v>1818</v>
      </c>
      <c r="H91" t="s">
        <v>19</v>
      </c>
      <c r="I91" s="1" t="s">
        <v>1137</v>
      </c>
      <c r="J91" s="7">
        <v>2</v>
      </c>
      <c r="K91" s="7">
        <v>2023</v>
      </c>
      <c r="L91" s="3">
        <v>68905.77</v>
      </c>
      <c r="M91" s="9" t="s">
        <v>1959</v>
      </c>
      <c r="N91" s="2" t="s">
        <v>1836</v>
      </c>
      <c r="O91" s="3">
        <v>9837801819</v>
      </c>
      <c r="P91" t="s">
        <v>12</v>
      </c>
      <c r="Q91">
        <v>2</v>
      </c>
      <c r="R91" t="s">
        <v>1963</v>
      </c>
    </row>
    <row r="92" spans="1:18" x14ac:dyDescent="0.35">
      <c r="A92" t="s">
        <v>121</v>
      </c>
      <c r="B92" t="s">
        <v>40</v>
      </c>
      <c r="C92" t="s">
        <v>29</v>
      </c>
      <c r="D92" t="s">
        <v>1942</v>
      </c>
      <c r="E92" s="3">
        <v>40</v>
      </c>
      <c r="F92" t="s">
        <v>1815</v>
      </c>
      <c r="G92" t="s">
        <v>1818</v>
      </c>
      <c r="H92" t="s">
        <v>19</v>
      </c>
      <c r="I92" s="1" t="s">
        <v>1138</v>
      </c>
      <c r="J92" s="7">
        <v>4</v>
      </c>
      <c r="K92" s="7">
        <v>2021</v>
      </c>
      <c r="L92" s="3">
        <v>72561.320000000007</v>
      </c>
      <c r="M92" s="9" t="s">
        <v>1959</v>
      </c>
      <c r="N92" s="2" t="s">
        <v>1877</v>
      </c>
      <c r="O92" s="3">
        <v>4339718955</v>
      </c>
      <c r="P92" t="s">
        <v>15</v>
      </c>
      <c r="Q92">
        <v>4</v>
      </c>
      <c r="R92" t="s">
        <v>1962</v>
      </c>
    </row>
    <row r="93" spans="1:18" x14ac:dyDescent="0.35">
      <c r="A93" t="s">
        <v>122</v>
      </c>
      <c r="B93" t="s">
        <v>9</v>
      </c>
      <c r="C93" t="s">
        <v>14</v>
      </c>
      <c r="D93" t="s">
        <v>1893</v>
      </c>
      <c r="E93" s="3">
        <v>35</v>
      </c>
      <c r="F93" t="s">
        <v>1815</v>
      </c>
      <c r="G93" t="s">
        <v>1822</v>
      </c>
      <c r="H93" t="s">
        <v>23</v>
      </c>
      <c r="I93" s="1" t="s">
        <v>1139</v>
      </c>
      <c r="J93" s="7">
        <v>2</v>
      </c>
      <c r="K93" s="7">
        <v>2023</v>
      </c>
      <c r="L93" s="3">
        <v>92723.22</v>
      </c>
      <c r="M93" s="9" t="s">
        <v>1960</v>
      </c>
      <c r="N93" s="2" t="s">
        <v>1828</v>
      </c>
      <c r="O93" s="3">
        <v>9070562607</v>
      </c>
      <c r="P93" t="s">
        <v>15</v>
      </c>
      <c r="Q93">
        <v>4</v>
      </c>
      <c r="R93" t="s">
        <v>1962</v>
      </c>
    </row>
    <row r="94" spans="1:18" x14ac:dyDescent="0.35">
      <c r="A94" t="s">
        <v>123</v>
      </c>
      <c r="B94" t="s">
        <v>17</v>
      </c>
      <c r="C94" t="s">
        <v>35</v>
      </c>
      <c r="D94" t="s">
        <v>1925</v>
      </c>
      <c r="E94" s="3">
        <v>40</v>
      </c>
      <c r="F94" t="s">
        <v>1823</v>
      </c>
      <c r="G94" t="s">
        <v>1822</v>
      </c>
      <c r="H94" t="s">
        <v>23</v>
      </c>
      <c r="I94" s="1" t="s">
        <v>1140</v>
      </c>
      <c r="J94" s="7">
        <v>4</v>
      </c>
      <c r="K94" s="7">
        <v>2021</v>
      </c>
      <c r="L94" s="3">
        <v>74837.75</v>
      </c>
      <c r="M94" s="9" t="s">
        <v>1959</v>
      </c>
      <c r="N94" s="2" t="s">
        <v>1860</v>
      </c>
      <c r="O94" s="3">
        <v>5641118241</v>
      </c>
      <c r="P94" t="s">
        <v>27</v>
      </c>
      <c r="Q94">
        <v>1</v>
      </c>
      <c r="R94" t="s">
        <v>1963</v>
      </c>
    </row>
    <row r="95" spans="1:18" x14ac:dyDescent="0.35">
      <c r="A95" t="s">
        <v>124</v>
      </c>
      <c r="B95" t="s">
        <v>22</v>
      </c>
      <c r="C95" t="s">
        <v>50</v>
      </c>
      <c r="D95" t="s">
        <v>1943</v>
      </c>
      <c r="E95" s="3">
        <v>30</v>
      </c>
      <c r="F95" t="s">
        <v>1813</v>
      </c>
      <c r="G95" t="s">
        <v>1814</v>
      </c>
      <c r="H95" t="s">
        <v>19</v>
      </c>
      <c r="I95" s="1" t="s">
        <v>1141</v>
      </c>
      <c r="J95" s="7">
        <v>5</v>
      </c>
      <c r="K95" s="7">
        <v>2020</v>
      </c>
      <c r="L95" s="3">
        <v>86163.91</v>
      </c>
      <c r="M95" s="9" t="s">
        <v>1960</v>
      </c>
      <c r="N95" s="2" t="s">
        <v>1878</v>
      </c>
      <c r="O95" s="3">
        <v>2412462094</v>
      </c>
      <c r="P95" t="s">
        <v>12</v>
      </c>
      <c r="Q95">
        <v>2</v>
      </c>
      <c r="R95" t="s">
        <v>1962</v>
      </c>
    </row>
    <row r="96" spans="1:18" x14ac:dyDescent="0.35">
      <c r="A96" t="s">
        <v>125</v>
      </c>
      <c r="B96" t="s">
        <v>37</v>
      </c>
      <c r="C96" t="s">
        <v>50</v>
      </c>
      <c r="D96" t="s">
        <v>1913</v>
      </c>
      <c r="E96" s="3">
        <v>40</v>
      </c>
      <c r="F96" t="s">
        <v>1815</v>
      </c>
      <c r="G96" t="s">
        <v>1824</v>
      </c>
      <c r="H96" t="s">
        <v>11</v>
      </c>
      <c r="I96" s="1" t="s">
        <v>1142</v>
      </c>
      <c r="J96" s="7">
        <v>2</v>
      </c>
      <c r="K96" s="7">
        <v>2023</v>
      </c>
      <c r="L96" s="3">
        <v>83326.52</v>
      </c>
      <c r="M96" s="9" t="s">
        <v>1959</v>
      </c>
      <c r="N96" s="2" t="s">
        <v>1848</v>
      </c>
      <c r="O96" s="3">
        <v>2004615264</v>
      </c>
      <c r="P96" t="s">
        <v>12</v>
      </c>
      <c r="Q96">
        <v>2</v>
      </c>
      <c r="R96" t="s">
        <v>1962</v>
      </c>
    </row>
    <row r="97" spans="1:18" x14ac:dyDescent="0.35">
      <c r="A97" t="s">
        <v>126</v>
      </c>
      <c r="B97" t="s">
        <v>40</v>
      </c>
      <c r="C97" t="s">
        <v>50</v>
      </c>
      <c r="D97" t="s">
        <v>1920</v>
      </c>
      <c r="E97" s="3">
        <v>25</v>
      </c>
      <c r="F97" t="s">
        <v>1819</v>
      </c>
      <c r="G97" t="s">
        <v>1814</v>
      </c>
      <c r="H97" t="s">
        <v>11</v>
      </c>
      <c r="I97" s="1" t="s">
        <v>1143</v>
      </c>
      <c r="J97" s="7">
        <v>3</v>
      </c>
      <c r="K97" s="7">
        <v>2022</v>
      </c>
      <c r="L97" s="3">
        <v>98425.1</v>
      </c>
      <c r="M97" s="9" t="s">
        <v>1960</v>
      </c>
      <c r="N97" s="2" t="s">
        <v>1855</v>
      </c>
      <c r="O97" s="3">
        <v>4610339936</v>
      </c>
      <c r="P97" t="s">
        <v>12</v>
      </c>
      <c r="Q97">
        <v>2</v>
      </c>
      <c r="R97" t="s">
        <v>1962</v>
      </c>
    </row>
    <row r="98" spans="1:18" x14ac:dyDescent="0.35">
      <c r="A98" t="s">
        <v>127</v>
      </c>
      <c r="B98" t="s">
        <v>25</v>
      </c>
      <c r="C98" t="s">
        <v>35</v>
      </c>
      <c r="D98" t="s">
        <v>1944</v>
      </c>
      <c r="E98" s="3">
        <v>40</v>
      </c>
      <c r="F98" t="s">
        <v>1821</v>
      </c>
      <c r="G98" t="s">
        <v>1824</v>
      </c>
      <c r="H98" t="s">
        <v>23</v>
      </c>
      <c r="I98" s="1" t="s">
        <v>1144</v>
      </c>
      <c r="J98" s="7">
        <v>3</v>
      </c>
      <c r="K98" s="7">
        <v>2022</v>
      </c>
      <c r="L98" s="3">
        <v>119764.2</v>
      </c>
      <c r="M98" s="9" t="s">
        <v>1960</v>
      </c>
      <c r="N98" s="2" t="s">
        <v>1879</v>
      </c>
      <c r="O98" s="3">
        <v>8861405785</v>
      </c>
      <c r="P98" t="s">
        <v>12</v>
      </c>
      <c r="Q98">
        <v>2</v>
      </c>
      <c r="R98" t="s">
        <v>1963</v>
      </c>
    </row>
    <row r="99" spans="1:18" x14ac:dyDescent="0.35">
      <c r="A99" t="s">
        <v>128</v>
      </c>
      <c r="B99" t="s">
        <v>25</v>
      </c>
      <c r="C99" t="s">
        <v>14</v>
      </c>
      <c r="D99" t="s">
        <v>1940</v>
      </c>
      <c r="E99" s="3">
        <v>40</v>
      </c>
      <c r="F99" t="s">
        <v>1823</v>
      </c>
      <c r="G99" t="s">
        <v>1814</v>
      </c>
      <c r="H99" t="s">
        <v>23</v>
      </c>
      <c r="I99" s="1" t="s">
        <v>1145</v>
      </c>
      <c r="J99" s="7">
        <v>4</v>
      </c>
      <c r="K99" s="7">
        <v>2021</v>
      </c>
      <c r="L99" s="3">
        <v>58445.91</v>
      </c>
      <c r="M99" s="9" t="s">
        <v>1958</v>
      </c>
      <c r="N99" s="2" t="s">
        <v>1875</v>
      </c>
      <c r="O99" s="3">
        <v>1706304890</v>
      </c>
      <c r="P99" t="s">
        <v>15</v>
      </c>
      <c r="Q99">
        <v>4</v>
      </c>
      <c r="R99" t="s">
        <v>1963</v>
      </c>
    </row>
    <row r="100" spans="1:18" x14ac:dyDescent="0.35">
      <c r="A100" t="s">
        <v>129</v>
      </c>
      <c r="B100" t="s">
        <v>9</v>
      </c>
      <c r="C100" t="s">
        <v>50</v>
      </c>
      <c r="D100" t="s">
        <v>1911</v>
      </c>
      <c r="E100" s="3">
        <v>30</v>
      </c>
      <c r="F100" t="s">
        <v>1813</v>
      </c>
      <c r="G100" t="s">
        <v>1822</v>
      </c>
      <c r="H100" t="s">
        <v>11</v>
      </c>
      <c r="I100" s="1" t="s">
        <v>1146</v>
      </c>
      <c r="J100" s="7">
        <v>4</v>
      </c>
      <c r="K100" s="7">
        <v>2021</v>
      </c>
      <c r="L100" s="3">
        <v>101702.33</v>
      </c>
      <c r="M100" s="9" t="s">
        <v>1960</v>
      </c>
      <c r="N100" s="2" t="s">
        <v>1846</v>
      </c>
      <c r="O100" s="3">
        <v>3824967182</v>
      </c>
      <c r="P100" t="s">
        <v>15</v>
      </c>
      <c r="Q100">
        <v>4</v>
      </c>
      <c r="R100" t="s">
        <v>1963</v>
      </c>
    </row>
    <row r="101" spans="1:18" x14ac:dyDescent="0.35">
      <c r="A101" t="s">
        <v>130</v>
      </c>
      <c r="B101" t="s">
        <v>22</v>
      </c>
      <c r="C101" t="s">
        <v>18</v>
      </c>
      <c r="D101" t="s">
        <v>1945</v>
      </c>
      <c r="E101" s="3">
        <v>25</v>
      </c>
      <c r="F101" t="s">
        <v>1817</v>
      </c>
      <c r="G101" t="s">
        <v>1814</v>
      </c>
      <c r="H101" t="s">
        <v>11</v>
      </c>
      <c r="I101" s="1" t="s">
        <v>1147</v>
      </c>
      <c r="J101" s="7">
        <v>3</v>
      </c>
      <c r="K101" s="7">
        <v>2022</v>
      </c>
      <c r="L101" s="3">
        <v>0</v>
      </c>
      <c r="M101" s="9" t="s">
        <v>1958</v>
      </c>
      <c r="N101" s="2" t="s">
        <v>1880</v>
      </c>
      <c r="O101" s="3">
        <v>2582386869</v>
      </c>
      <c r="P101" t="s">
        <v>20</v>
      </c>
      <c r="Q101">
        <v>3</v>
      </c>
      <c r="R101" t="s">
        <v>1963</v>
      </c>
    </row>
    <row r="102" spans="1:18" x14ac:dyDescent="0.35">
      <c r="A102" t="s">
        <v>131</v>
      </c>
      <c r="B102" t="s">
        <v>34</v>
      </c>
      <c r="C102" t="s">
        <v>10</v>
      </c>
      <c r="D102" t="s">
        <v>1931</v>
      </c>
      <c r="E102" s="3">
        <v>35</v>
      </c>
      <c r="F102" t="s">
        <v>1819</v>
      </c>
      <c r="G102" t="s">
        <v>1816</v>
      </c>
      <c r="H102" t="s">
        <v>19</v>
      </c>
      <c r="I102" s="1" t="s">
        <v>1148</v>
      </c>
      <c r="J102" s="7">
        <v>4</v>
      </c>
      <c r="K102" s="7">
        <v>2021</v>
      </c>
      <c r="L102" s="3">
        <v>98819.22</v>
      </c>
      <c r="M102" s="9" t="s">
        <v>1960</v>
      </c>
      <c r="N102" s="2" t="s">
        <v>1866</v>
      </c>
      <c r="O102" s="3">
        <v>794200748</v>
      </c>
      <c r="P102" t="s">
        <v>20</v>
      </c>
      <c r="Q102">
        <v>3</v>
      </c>
      <c r="R102" t="s">
        <v>1963</v>
      </c>
    </row>
    <row r="103" spans="1:18" x14ac:dyDescent="0.35">
      <c r="A103" t="s">
        <v>132</v>
      </c>
      <c r="B103" t="s">
        <v>40</v>
      </c>
      <c r="C103" t="s">
        <v>35</v>
      </c>
      <c r="D103" t="s">
        <v>1915</v>
      </c>
      <c r="E103" s="3">
        <v>25</v>
      </c>
      <c r="F103" t="s">
        <v>1819</v>
      </c>
      <c r="G103" t="s">
        <v>1824</v>
      </c>
      <c r="H103" t="s">
        <v>23</v>
      </c>
      <c r="I103" s="1" t="s">
        <v>1149</v>
      </c>
      <c r="J103" s="7">
        <v>3</v>
      </c>
      <c r="K103" s="7">
        <v>2022</v>
      </c>
      <c r="L103" s="3">
        <v>83509.990000000005</v>
      </c>
      <c r="M103" s="9" t="s">
        <v>1959</v>
      </c>
      <c r="N103" s="2" t="s">
        <v>1850</v>
      </c>
      <c r="O103" s="3">
        <v>4653984027</v>
      </c>
      <c r="P103" t="s">
        <v>12</v>
      </c>
      <c r="Q103">
        <v>2</v>
      </c>
      <c r="R103" t="s">
        <v>1963</v>
      </c>
    </row>
    <row r="104" spans="1:18" x14ac:dyDescent="0.35">
      <c r="A104" t="s">
        <v>133</v>
      </c>
      <c r="B104" t="s">
        <v>17</v>
      </c>
      <c r="C104" t="s">
        <v>35</v>
      </c>
      <c r="D104" t="s">
        <v>1925</v>
      </c>
      <c r="E104" s="3">
        <v>35</v>
      </c>
      <c r="F104" t="s">
        <v>1815</v>
      </c>
      <c r="G104" t="s">
        <v>1816</v>
      </c>
      <c r="H104" t="s">
        <v>11</v>
      </c>
      <c r="I104" s="1" t="s">
        <v>1150</v>
      </c>
      <c r="J104" s="7">
        <v>3</v>
      </c>
      <c r="K104" s="7">
        <v>2022</v>
      </c>
      <c r="L104" s="3">
        <v>84422.26</v>
      </c>
      <c r="M104" s="9" t="s">
        <v>1959</v>
      </c>
      <c r="N104" s="2" t="s">
        <v>1860</v>
      </c>
      <c r="O104" s="3">
        <v>9141612845</v>
      </c>
      <c r="P104" t="s">
        <v>12</v>
      </c>
      <c r="Q104">
        <v>2</v>
      </c>
      <c r="R104" t="s">
        <v>1963</v>
      </c>
    </row>
    <row r="105" spans="1:18" x14ac:dyDescent="0.35">
      <c r="A105" t="s">
        <v>134</v>
      </c>
      <c r="B105" t="s">
        <v>17</v>
      </c>
      <c r="C105" t="s">
        <v>14</v>
      </c>
      <c r="D105" t="s">
        <v>1907</v>
      </c>
      <c r="E105" s="3">
        <v>30</v>
      </c>
      <c r="F105" t="s">
        <v>1817</v>
      </c>
      <c r="G105" t="s">
        <v>1824</v>
      </c>
      <c r="H105" t="s">
        <v>23</v>
      </c>
      <c r="I105" s="1" t="s">
        <v>1151</v>
      </c>
      <c r="J105" s="7">
        <v>5</v>
      </c>
      <c r="K105" s="7">
        <v>2020</v>
      </c>
      <c r="L105" s="3">
        <v>119574.27</v>
      </c>
      <c r="M105" s="9" t="s">
        <v>1960</v>
      </c>
      <c r="N105" s="2" t="s">
        <v>1842</v>
      </c>
      <c r="O105" s="3">
        <v>3985547434</v>
      </c>
      <c r="P105" t="s">
        <v>12</v>
      </c>
      <c r="Q105">
        <v>2</v>
      </c>
      <c r="R105" t="s">
        <v>1962</v>
      </c>
    </row>
    <row r="106" spans="1:18" x14ac:dyDescent="0.35">
      <c r="A106" t="s">
        <v>135</v>
      </c>
      <c r="B106" t="s">
        <v>42</v>
      </c>
      <c r="C106" t="s">
        <v>35</v>
      </c>
      <c r="D106" t="s">
        <v>1919</v>
      </c>
      <c r="E106" s="3">
        <v>30</v>
      </c>
      <c r="F106" t="s">
        <v>1821</v>
      </c>
      <c r="G106" t="s">
        <v>1824</v>
      </c>
      <c r="H106" t="s">
        <v>11</v>
      </c>
      <c r="I106" s="1" t="s">
        <v>1152</v>
      </c>
      <c r="J106" s="7">
        <v>1</v>
      </c>
      <c r="K106" s="7">
        <v>2024</v>
      </c>
      <c r="L106" s="3">
        <v>86580.08</v>
      </c>
      <c r="M106" s="9" t="s">
        <v>1960</v>
      </c>
      <c r="N106" s="2" t="s">
        <v>1854</v>
      </c>
      <c r="O106" s="3">
        <v>5379502096</v>
      </c>
      <c r="P106" t="s">
        <v>20</v>
      </c>
      <c r="Q106">
        <v>3</v>
      </c>
      <c r="R106" t="s">
        <v>1962</v>
      </c>
    </row>
    <row r="107" spans="1:18" x14ac:dyDescent="0.35">
      <c r="A107" t="s">
        <v>136</v>
      </c>
      <c r="B107" t="s">
        <v>40</v>
      </c>
      <c r="C107" t="s">
        <v>35</v>
      </c>
      <c r="D107" t="s">
        <v>1915</v>
      </c>
      <c r="E107" s="3">
        <v>35</v>
      </c>
      <c r="F107" t="s">
        <v>1821</v>
      </c>
      <c r="G107" t="s">
        <v>1820</v>
      </c>
      <c r="H107" t="s">
        <v>23</v>
      </c>
      <c r="I107" s="1" t="s">
        <v>1153</v>
      </c>
      <c r="J107" s="7">
        <v>2</v>
      </c>
      <c r="K107" s="7">
        <v>2023</v>
      </c>
      <c r="L107" s="3">
        <v>93471.91</v>
      </c>
      <c r="M107" s="9" t="s">
        <v>1960</v>
      </c>
      <c r="N107" s="2" t="s">
        <v>1850</v>
      </c>
      <c r="O107" s="3">
        <v>26876810</v>
      </c>
      <c r="P107" t="s">
        <v>27</v>
      </c>
      <c r="Q107">
        <v>1</v>
      </c>
      <c r="R107" t="s">
        <v>1963</v>
      </c>
    </row>
    <row r="108" spans="1:18" x14ac:dyDescent="0.35">
      <c r="A108" t="s">
        <v>137</v>
      </c>
      <c r="B108" t="s">
        <v>9</v>
      </c>
      <c r="C108" t="s">
        <v>50</v>
      </c>
      <c r="D108" t="s">
        <v>1911</v>
      </c>
      <c r="E108" s="3">
        <v>30</v>
      </c>
      <c r="F108" t="s">
        <v>1813</v>
      </c>
      <c r="G108" t="s">
        <v>1822</v>
      </c>
      <c r="H108" t="s">
        <v>23</v>
      </c>
      <c r="I108" s="1" t="s">
        <v>1154</v>
      </c>
      <c r="J108" s="7">
        <v>2</v>
      </c>
      <c r="K108" s="7">
        <v>2023</v>
      </c>
      <c r="L108" s="3">
        <v>55683.12</v>
      </c>
      <c r="M108" s="9" t="s">
        <v>1958</v>
      </c>
      <c r="N108" s="2" t="s">
        <v>1846</v>
      </c>
      <c r="O108" s="3">
        <v>8071569561</v>
      </c>
      <c r="P108" t="s">
        <v>27</v>
      </c>
      <c r="Q108">
        <v>1</v>
      </c>
      <c r="R108" t="s">
        <v>1962</v>
      </c>
    </row>
    <row r="109" spans="1:18" x14ac:dyDescent="0.35">
      <c r="A109" t="s">
        <v>138</v>
      </c>
      <c r="B109" t="s">
        <v>9</v>
      </c>
      <c r="C109" t="s">
        <v>14</v>
      </c>
      <c r="D109" t="s">
        <v>1893</v>
      </c>
      <c r="E109" s="3">
        <v>30</v>
      </c>
      <c r="F109" t="s">
        <v>1819</v>
      </c>
      <c r="G109" t="s">
        <v>1820</v>
      </c>
      <c r="H109" t="s">
        <v>23</v>
      </c>
      <c r="I109" s="1" t="s">
        <v>1155</v>
      </c>
      <c r="J109" s="7">
        <v>1</v>
      </c>
      <c r="K109" s="7">
        <v>2023</v>
      </c>
      <c r="L109" s="3">
        <v>91566.78</v>
      </c>
      <c r="M109" s="9" t="s">
        <v>1960</v>
      </c>
      <c r="N109" s="2" t="s">
        <v>1828</v>
      </c>
      <c r="O109" s="3">
        <v>175370303</v>
      </c>
      <c r="P109" t="s">
        <v>20</v>
      </c>
      <c r="Q109">
        <v>3</v>
      </c>
      <c r="R109" t="s">
        <v>1962</v>
      </c>
    </row>
    <row r="110" spans="1:18" x14ac:dyDescent="0.35">
      <c r="A110" t="s">
        <v>139</v>
      </c>
      <c r="B110" t="s">
        <v>37</v>
      </c>
      <c r="C110" t="s">
        <v>50</v>
      </c>
      <c r="D110" t="s">
        <v>1913</v>
      </c>
      <c r="E110" s="3">
        <v>35</v>
      </c>
      <c r="F110" t="s">
        <v>1813</v>
      </c>
      <c r="G110" t="s">
        <v>1814</v>
      </c>
      <c r="H110" t="s">
        <v>19</v>
      </c>
      <c r="I110" s="1" t="s">
        <v>1156</v>
      </c>
      <c r="J110" s="7">
        <v>1</v>
      </c>
      <c r="K110" s="7">
        <v>2024</v>
      </c>
      <c r="L110" s="3">
        <v>81782.19</v>
      </c>
      <c r="M110" s="9" t="s">
        <v>1959</v>
      </c>
      <c r="N110" s="2" t="s">
        <v>1848</v>
      </c>
      <c r="O110" s="3">
        <v>5319433749</v>
      </c>
      <c r="P110" t="s">
        <v>20</v>
      </c>
      <c r="Q110">
        <v>3</v>
      </c>
      <c r="R110" t="s">
        <v>1963</v>
      </c>
    </row>
    <row r="111" spans="1:18" x14ac:dyDescent="0.35">
      <c r="A111" t="s">
        <v>140</v>
      </c>
      <c r="B111" t="s">
        <v>22</v>
      </c>
      <c r="C111" t="s">
        <v>10</v>
      </c>
      <c r="D111" t="s">
        <v>1895</v>
      </c>
      <c r="E111" s="3">
        <v>30</v>
      </c>
      <c r="F111" t="s">
        <v>1813</v>
      </c>
      <c r="G111" t="s">
        <v>1822</v>
      </c>
      <c r="H111" t="s">
        <v>23</v>
      </c>
      <c r="I111" s="1" t="s">
        <v>1157</v>
      </c>
      <c r="J111" s="7">
        <v>5</v>
      </c>
      <c r="K111" s="7">
        <v>2020</v>
      </c>
      <c r="L111" s="3">
        <v>88119.37</v>
      </c>
      <c r="M111" s="9" t="s">
        <v>1960</v>
      </c>
      <c r="N111" s="2" t="s">
        <v>1830</v>
      </c>
      <c r="O111" s="3">
        <v>4793036148</v>
      </c>
      <c r="P111" t="s">
        <v>20</v>
      </c>
      <c r="Q111">
        <v>3</v>
      </c>
      <c r="R111" t="s">
        <v>1962</v>
      </c>
    </row>
    <row r="112" spans="1:18" x14ac:dyDescent="0.35">
      <c r="A112" t="s">
        <v>141</v>
      </c>
      <c r="B112" t="s">
        <v>22</v>
      </c>
      <c r="C112" t="s">
        <v>29</v>
      </c>
      <c r="D112" t="s">
        <v>1946</v>
      </c>
      <c r="E112" s="3">
        <v>30</v>
      </c>
      <c r="F112" t="s">
        <v>1819</v>
      </c>
      <c r="G112" t="s">
        <v>1816</v>
      </c>
      <c r="H112" t="s">
        <v>11</v>
      </c>
      <c r="I112" s="1" t="s">
        <v>1158</v>
      </c>
      <c r="J112" s="7">
        <v>1</v>
      </c>
      <c r="K112" s="7">
        <v>2024</v>
      </c>
      <c r="L112" s="3">
        <v>71532.83</v>
      </c>
      <c r="M112" s="9" t="s">
        <v>1959</v>
      </c>
      <c r="N112" s="2" t="s">
        <v>1881</v>
      </c>
      <c r="O112" s="3">
        <v>8728399920</v>
      </c>
      <c r="P112" t="s">
        <v>20</v>
      </c>
      <c r="Q112">
        <v>3</v>
      </c>
      <c r="R112" t="s">
        <v>1962</v>
      </c>
    </row>
    <row r="113" spans="1:18" x14ac:dyDescent="0.35">
      <c r="A113" t="s">
        <v>142</v>
      </c>
      <c r="B113" t="s">
        <v>22</v>
      </c>
      <c r="C113" t="s">
        <v>10</v>
      </c>
      <c r="D113" t="s">
        <v>1895</v>
      </c>
      <c r="E113" s="3">
        <v>40</v>
      </c>
      <c r="F113" t="s">
        <v>1819</v>
      </c>
      <c r="G113" t="s">
        <v>1820</v>
      </c>
      <c r="H113" t="s">
        <v>19</v>
      </c>
      <c r="I113" s="1" t="s">
        <v>1159</v>
      </c>
      <c r="J113" s="7">
        <v>4</v>
      </c>
      <c r="K113" s="7">
        <v>2021</v>
      </c>
      <c r="L113" s="3">
        <v>98981.36</v>
      </c>
      <c r="M113" s="9" t="s">
        <v>1960</v>
      </c>
      <c r="N113" s="2" t="s">
        <v>1830</v>
      </c>
      <c r="O113" s="3">
        <v>9212493842</v>
      </c>
      <c r="P113" t="s">
        <v>20</v>
      </c>
      <c r="Q113">
        <v>3</v>
      </c>
      <c r="R113" t="s">
        <v>1962</v>
      </c>
    </row>
    <row r="114" spans="1:18" x14ac:dyDescent="0.35">
      <c r="A114" t="s">
        <v>143</v>
      </c>
      <c r="B114" t="s">
        <v>40</v>
      </c>
      <c r="C114" t="s">
        <v>29</v>
      </c>
      <c r="D114" t="s">
        <v>1942</v>
      </c>
      <c r="E114" s="3">
        <v>40</v>
      </c>
      <c r="F114" t="s">
        <v>1819</v>
      </c>
      <c r="G114" t="s">
        <v>1824</v>
      </c>
      <c r="H114" t="s">
        <v>11</v>
      </c>
      <c r="I114" s="1" t="s">
        <v>1160</v>
      </c>
      <c r="J114" s="7">
        <v>0</v>
      </c>
      <c r="K114" s="7">
        <v>2024</v>
      </c>
      <c r="L114" s="3">
        <v>80242.009999999995</v>
      </c>
      <c r="M114" s="9" t="s">
        <v>1959</v>
      </c>
      <c r="N114" s="2" t="s">
        <v>1877</v>
      </c>
      <c r="O114" s="3">
        <v>894870604</v>
      </c>
      <c r="P114" t="s">
        <v>20</v>
      </c>
      <c r="Q114">
        <v>3</v>
      </c>
      <c r="R114" t="s">
        <v>1962</v>
      </c>
    </row>
    <row r="115" spans="1:18" x14ac:dyDescent="0.35">
      <c r="A115" t="s">
        <v>144</v>
      </c>
      <c r="B115" t="s">
        <v>22</v>
      </c>
      <c r="C115" t="s">
        <v>50</v>
      </c>
      <c r="D115" t="s">
        <v>1943</v>
      </c>
      <c r="E115" s="3">
        <v>25</v>
      </c>
      <c r="F115" t="s">
        <v>1819</v>
      </c>
      <c r="G115" t="s">
        <v>1822</v>
      </c>
      <c r="H115" t="s">
        <v>19</v>
      </c>
      <c r="I115" s="1" t="s">
        <v>1161</v>
      </c>
      <c r="J115" s="7">
        <v>1</v>
      </c>
      <c r="K115" s="7">
        <v>2024</v>
      </c>
      <c r="L115" s="3">
        <v>110236.18</v>
      </c>
      <c r="M115" s="9" t="s">
        <v>1960</v>
      </c>
      <c r="N115" s="2" t="s">
        <v>1878</v>
      </c>
      <c r="O115" s="3">
        <v>6641877579</v>
      </c>
      <c r="P115" t="s">
        <v>12</v>
      </c>
      <c r="Q115">
        <v>2</v>
      </c>
      <c r="R115" t="s">
        <v>1962</v>
      </c>
    </row>
    <row r="116" spans="1:18" x14ac:dyDescent="0.35">
      <c r="A116" t="s">
        <v>145</v>
      </c>
      <c r="B116" t="s">
        <v>17</v>
      </c>
      <c r="C116" t="s">
        <v>10</v>
      </c>
      <c r="D116" t="s">
        <v>1928</v>
      </c>
      <c r="E116" s="3">
        <v>35</v>
      </c>
      <c r="F116" t="s">
        <v>1821</v>
      </c>
      <c r="G116" t="s">
        <v>1816</v>
      </c>
      <c r="H116" t="s">
        <v>11</v>
      </c>
      <c r="I116" s="1" t="s">
        <v>1162</v>
      </c>
      <c r="J116" s="7">
        <v>3</v>
      </c>
      <c r="K116" s="7">
        <v>2022</v>
      </c>
      <c r="L116" s="3">
        <v>86327.47</v>
      </c>
      <c r="M116" s="9" t="s">
        <v>1960</v>
      </c>
      <c r="N116" s="2" t="s">
        <v>1863</v>
      </c>
      <c r="O116" s="3">
        <v>3046875062</v>
      </c>
      <c r="P116" t="s">
        <v>12</v>
      </c>
      <c r="Q116">
        <v>2</v>
      </c>
      <c r="R116" t="s">
        <v>1963</v>
      </c>
    </row>
    <row r="117" spans="1:18" x14ac:dyDescent="0.35">
      <c r="A117" t="s">
        <v>146</v>
      </c>
      <c r="B117" t="s">
        <v>22</v>
      </c>
      <c r="C117" t="s">
        <v>14</v>
      </c>
      <c r="D117" t="s">
        <v>1927</v>
      </c>
      <c r="E117" s="3">
        <v>30</v>
      </c>
      <c r="F117" t="s">
        <v>1821</v>
      </c>
      <c r="G117" t="s">
        <v>1820</v>
      </c>
      <c r="H117" t="s">
        <v>19</v>
      </c>
      <c r="I117" s="1" t="s">
        <v>1163</v>
      </c>
      <c r="J117" s="7">
        <v>1</v>
      </c>
      <c r="K117" s="7">
        <v>2024</v>
      </c>
      <c r="L117" s="3">
        <v>84420.81</v>
      </c>
      <c r="M117" s="9" t="s">
        <v>1959</v>
      </c>
      <c r="N117" s="2" t="s">
        <v>1862</v>
      </c>
      <c r="O117" s="3">
        <v>5190361331</v>
      </c>
      <c r="P117" t="s">
        <v>12</v>
      </c>
      <c r="Q117">
        <v>2</v>
      </c>
      <c r="R117" t="s">
        <v>1963</v>
      </c>
    </row>
    <row r="118" spans="1:18" x14ac:dyDescent="0.35">
      <c r="A118" t="s">
        <v>147</v>
      </c>
      <c r="B118" t="s">
        <v>25</v>
      </c>
      <c r="C118" t="s">
        <v>62</v>
      </c>
      <c r="D118" t="s">
        <v>1922</v>
      </c>
      <c r="E118" s="3">
        <v>40</v>
      </c>
      <c r="F118" t="s">
        <v>1823</v>
      </c>
      <c r="G118" t="s">
        <v>1814</v>
      </c>
      <c r="H118" t="s">
        <v>19</v>
      </c>
      <c r="I118" s="1" t="s">
        <v>1164</v>
      </c>
      <c r="J118" s="7">
        <v>5</v>
      </c>
      <c r="K118" s="7">
        <v>2020</v>
      </c>
      <c r="L118" s="3">
        <v>110041.32</v>
      </c>
      <c r="M118" s="9" t="s">
        <v>1960</v>
      </c>
      <c r="N118" s="2" t="s">
        <v>1857</v>
      </c>
      <c r="O118" s="3">
        <v>5411076094</v>
      </c>
      <c r="P118" t="s">
        <v>12</v>
      </c>
      <c r="Q118">
        <v>2</v>
      </c>
      <c r="R118" t="s">
        <v>1963</v>
      </c>
    </row>
    <row r="119" spans="1:18" x14ac:dyDescent="0.35">
      <c r="A119" t="s">
        <v>148</v>
      </c>
      <c r="B119" t="s">
        <v>40</v>
      </c>
      <c r="C119" t="s">
        <v>50</v>
      </c>
      <c r="D119" t="s">
        <v>1920</v>
      </c>
      <c r="E119" s="3">
        <v>35</v>
      </c>
      <c r="F119" t="s">
        <v>1813</v>
      </c>
      <c r="G119" t="s">
        <v>1820</v>
      </c>
      <c r="H119" t="s">
        <v>19</v>
      </c>
      <c r="I119" s="1" t="s">
        <v>1165</v>
      </c>
      <c r="J119" s="7">
        <v>5</v>
      </c>
      <c r="K119" s="7">
        <v>2020</v>
      </c>
      <c r="L119" s="3">
        <v>81837.81</v>
      </c>
      <c r="M119" s="9" t="s">
        <v>1959</v>
      </c>
      <c r="N119" s="2" t="s">
        <v>1855</v>
      </c>
      <c r="O119" s="3">
        <v>4317350582</v>
      </c>
      <c r="P119" t="s">
        <v>20</v>
      </c>
      <c r="Q119">
        <v>3</v>
      </c>
      <c r="R119" t="s">
        <v>1962</v>
      </c>
    </row>
    <row r="120" spans="1:18" x14ac:dyDescent="0.35">
      <c r="A120" t="s">
        <v>149</v>
      </c>
      <c r="B120" t="s">
        <v>25</v>
      </c>
      <c r="C120" t="s">
        <v>29</v>
      </c>
      <c r="D120" t="s">
        <v>1932</v>
      </c>
      <c r="E120" s="3">
        <v>25</v>
      </c>
      <c r="F120" t="s">
        <v>1815</v>
      </c>
      <c r="G120" t="s">
        <v>1824</v>
      </c>
      <c r="H120" t="s">
        <v>11</v>
      </c>
      <c r="I120" s="1" t="s">
        <v>1166</v>
      </c>
      <c r="J120" s="7">
        <v>2</v>
      </c>
      <c r="K120" s="7">
        <v>2023</v>
      </c>
      <c r="L120" s="3">
        <v>110855.72</v>
      </c>
      <c r="M120" s="9" t="s">
        <v>1960</v>
      </c>
      <c r="N120" s="2" t="s">
        <v>1867</v>
      </c>
      <c r="O120" s="3">
        <v>1997179109</v>
      </c>
      <c r="P120" t="s">
        <v>27</v>
      </c>
      <c r="Q120">
        <v>1</v>
      </c>
      <c r="R120" t="s">
        <v>1963</v>
      </c>
    </row>
    <row r="121" spans="1:18" x14ac:dyDescent="0.35">
      <c r="A121" t="s">
        <v>150</v>
      </c>
      <c r="B121" t="s">
        <v>17</v>
      </c>
      <c r="C121" t="s">
        <v>18</v>
      </c>
      <c r="D121" t="s">
        <v>1894</v>
      </c>
      <c r="E121" s="3">
        <v>30</v>
      </c>
      <c r="F121" t="s">
        <v>1821</v>
      </c>
      <c r="G121" t="s">
        <v>1814</v>
      </c>
      <c r="H121" t="s">
        <v>19</v>
      </c>
      <c r="I121" s="1" t="s">
        <v>1167</v>
      </c>
      <c r="J121" s="7">
        <v>1</v>
      </c>
      <c r="K121" s="7">
        <v>2024</v>
      </c>
      <c r="L121" s="3">
        <v>84894.52</v>
      </c>
      <c r="M121" s="9" t="s">
        <v>1959</v>
      </c>
      <c r="N121" s="2" t="s">
        <v>1829</v>
      </c>
      <c r="O121" s="3">
        <v>651207048</v>
      </c>
      <c r="P121" t="s">
        <v>15</v>
      </c>
      <c r="Q121">
        <v>4</v>
      </c>
      <c r="R121" t="s">
        <v>1962</v>
      </c>
    </row>
    <row r="122" spans="1:18" x14ac:dyDescent="0.35">
      <c r="A122" t="s">
        <v>151</v>
      </c>
      <c r="B122" t="s">
        <v>17</v>
      </c>
      <c r="C122" t="s">
        <v>29</v>
      </c>
      <c r="D122" t="s">
        <v>1897</v>
      </c>
      <c r="E122" s="3">
        <v>30</v>
      </c>
      <c r="F122" t="s">
        <v>1823</v>
      </c>
      <c r="G122" t="s">
        <v>1824</v>
      </c>
      <c r="H122" t="s">
        <v>11</v>
      </c>
      <c r="I122" s="1" t="s">
        <v>1168</v>
      </c>
      <c r="J122" s="7">
        <v>3</v>
      </c>
      <c r="K122" s="7">
        <v>2021</v>
      </c>
      <c r="L122" s="3">
        <v>80668.13</v>
      </c>
      <c r="M122" s="9" t="s">
        <v>1959</v>
      </c>
      <c r="N122" s="2" t="s">
        <v>1832</v>
      </c>
      <c r="O122" s="3">
        <v>6110804660</v>
      </c>
      <c r="P122" t="s">
        <v>20</v>
      </c>
      <c r="Q122">
        <v>3</v>
      </c>
      <c r="R122" t="s">
        <v>1962</v>
      </c>
    </row>
    <row r="123" spans="1:18" x14ac:dyDescent="0.35">
      <c r="A123" t="s">
        <v>152</v>
      </c>
      <c r="B123" t="s">
        <v>9</v>
      </c>
      <c r="C123" t="s">
        <v>18</v>
      </c>
      <c r="D123" t="s">
        <v>1899</v>
      </c>
      <c r="E123" s="3">
        <v>25</v>
      </c>
      <c r="F123" t="s">
        <v>1813</v>
      </c>
      <c r="G123" t="s">
        <v>1824</v>
      </c>
      <c r="H123" t="s">
        <v>11</v>
      </c>
      <c r="I123" s="1" t="s">
        <v>1169</v>
      </c>
      <c r="J123" s="7">
        <v>1</v>
      </c>
      <c r="K123" s="7">
        <v>2023</v>
      </c>
      <c r="L123" s="3">
        <v>61086.47</v>
      </c>
      <c r="M123" s="9" t="s">
        <v>1959</v>
      </c>
      <c r="N123" s="2" t="s">
        <v>1834</v>
      </c>
      <c r="O123" s="3">
        <v>9639907675</v>
      </c>
      <c r="P123" t="s">
        <v>15</v>
      </c>
      <c r="Q123">
        <v>4</v>
      </c>
      <c r="R123" t="s">
        <v>1962</v>
      </c>
    </row>
    <row r="124" spans="1:18" x14ac:dyDescent="0.35">
      <c r="A124" t="s">
        <v>153</v>
      </c>
      <c r="B124" t="s">
        <v>42</v>
      </c>
      <c r="C124" t="s">
        <v>35</v>
      </c>
      <c r="D124" t="s">
        <v>1919</v>
      </c>
      <c r="E124" s="3">
        <v>25</v>
      </c>
      <c r="F124" t="s">
        <v>1817</v>
      </c>
      <c r="G124" t="s">
        <v>1816</v>
      </c>
      <c r="H124" t="s">
        <v>23</v>
      </c>
      <c r="I124" s="1" t="s">
        <v>1170</v>
      </c>
      <c r="J124" s="7">
        <v>5</v>
      </c>
      <c r="K124" s="7">
        <v>2020</v>
      </c>
      <c r="L124" s="3">
        <v>95339.68</v>
      </c>
      <c r="M124" s="9" t="s">
        <v>1960</v>
      </c>
      <c r="N124" s="2" t="s">
        <v>1854</v>
      </c>
      <c r="O124" s="3">
        <v>9915078592</v>
      </c>
      <c r="P124" t="s">
        <v>27</v>
      </c>
      <c r="Q124">
        <v>1</v>
      </c>
      <c r="R124" t="s">
        <v>1962</v>
      </c>
    </row>
    <row r="125" spans="1:18" x14ac:dyDescent="0.35">
      <c r="A125" t="s">
        <v>154</v>
      </c>
      <c r="B125" t="s">
        <v>22</v>
      </c>
      <c r="C125" t="s">
        <v>10</v>
      </c>
      <c r="D125" t="s">
        <v>1895</v>
      </c>
      <c r="E125" s="3">
        <v>30</v>
      </c>
      <c r="F125" t="s">
        <v>1813</v>
      </c>
      <c r="G125" t="s">
        <v>1814</v>
      </c>
      <c r="H125" t="s">
        <v>23</v>
      </c>
      <c r="I125" s="1" t="s">
        <v>1171</v>
      </c>
      <c r="J125" s="7">
        <v>1</v>
      </c>
      <c r="K125" s="7">
        <v>2024</v>
      </c>
      <c r="L125" s="3">
        <v>83774.97</v>
      </c>
      <c r="M125" s="9" t="s">
        <v>1959</v>
      </c>
      <c r="N125" s="2" t="s">
        <v>1830</v>
      </c>
      <c r="O125" s="3">
        <v>1109193927</v>
      </c>
      <c r="P125" t="s">
        <v>12</v>
      </c>
      <c r="Q125">
        <v>2</v>
      </c>
      <c r="R125" t="s">
        <v>1963</v>
      </c>
    </row>
    <row r="126" spans="1:18" x14ac:dyDescent="0.35">
      <c r="A126" t="s">
        <v>155</v>
      </c>
      <c r="B126" t="s">
        <v>40</v>
      </c>
      <c r="C126" t="s">
        <v>18</v>
      </c>
      <c r="D126" t="s">
        <v>1947</v>
      </c>
      <c r="E126" s="3">
        <v>30</v>
      </c>
      <c r="F126" t="s">
        <v>1817</v>
      </c>
      <c r="G126" t="s">
        <v>1820</v>
      </c>
      <c r="H126" t="s">
        <v>11</v>
      </c>
      <c r="I126" s="1" t="s">
        <v>1172</v>
      </c>
      <c r="J126" s="7">
        <v>1</v>
      </c>
      <c r="K126" s="7">
        <v>2023</v>
      </c>
      <c r="L126" s="3">
        <v>85576.86</v>
      </c>
      <c r="M126" s="9" t="s">
        <v>1960</v>
      </c>
      <c r="N126" s="2" t="s">
        <v>1882</v>
      </c>
      <c r="O126" s="3">
        <v>4567972319</v>
      </c>
      <c r="P126" t="s">
        <v>27</v>
      </c>
      <c r="Q126">
        <v>1</v>
      </c>
      <c r="R126" t="s">
        <v>1963</v>
      </c>
    </row>
    <row r="127" spans="1:18" x14ac:dyDescent="0.35">
      <c r="A127" t="s">
        <v>156</v>
      </c>
      <c r="B127" t="s">
        <v>9</v>
      </c>
      <c r="C127" t="s">
        <v>29</v>
      </c>
      <c r="D127" t="s">
        <v>1926</v>
      </c>
      <c r="E127" s="3">
        <v>35</v>
      </c>
      <c r="F127" t="s">
        <v>1815</v>
      </c>
      <c r="G127" t="s">
        <v>1814</v>
      </c>
      <c r="H127" t="s">
        <v>19</v>
      </c>
      <c r="I127" s="1" t="s">
        <v>1173</v>
      </c>
      <c r="J127" s="7">
        <v>4</v>
      </c>
      <c r="K127" s="7">
        <v>2021</v>
      </c>
      <c r="L127" s="3">
        <v>107438.46</v>
      </c>
      <c r="M127" s="9" t="s">
        <v>1960</v>
      </c>
      <c r="N127" s="2" t="s">
        <v>1861</v>
      </c>
      <c r="O127" s="3">
        <v>249685497</v>
      </c>
      <c r="P127" t="s">
        <v>20</v>
      </c>
      <c r="Q127">
        <v>3</v>
      </c>
      <c r="R127" t="s">
        <v>1962</v>
      </c>
    </row>
    <row r="128" spans="1:18" x14ac:dyDescent="0.35">
      <c r="A128" t="s">
        <v>157</v>
      </c>
      <c r="B128" t="s">
        <v>22</v>
      </c>
      <c r="C128" t="s">
        <v>35</v>
      </c>
      <c r="D128" t="s">
        <v>1948</v>
      </c>
      <c r="E128" s="3">
        <v>30</v>
      </c>
      <c r="F128" t="s">
        <v>1821</v>
      </c>
      <c r="G128" t="s">
        <v>1818</v>
      </c>
      <c r="H128" t="s">
        <v>23</v>
      </c>
      <c r="I128" s="1" t="s">
        <v>1174</v>
      </c>
      <c r="J128" s="7">
        <v>1</v>
      </c>
      <c r="K128" s="7">
        <v>2024</v>
      </c>
      <c r="L128" s="3">
        <v>60401.68</v>
      </c>
      <c r="M128" s="9" t="s">
        <v>1959</v>
      </c>
      <c r="N128" s="2" t="s">
        <v>1883</v>
      </c>
      <c r="O128" s="3">
        <v>2274954507</v>
      </c>
      <c r="P128" t="s">
        <v>12</v>
      </c>
      <c r="Q128">
        <v>2</v>
      </c>
      <c r="R128" t="s">
        <v>1963</v>
      </c>
    </row>
    <row r="129" spans="1:18" x14ac:dyDescent="0.35">
      <c r="A129" t="s">
        <v>158</v>
      </c>
      <c r="B129" t="s">
        <v>25</v>
      </c>
      <c r="C129" t="s">
        <v>62</v>
      </c>
      <c r="D129" t="s">
        <v>1922</v>
      </c>
      <c r="E129" s="3">
        <v>35</v>
      </c>
      <c r="F129" t="s">
        <v>1821</v>
      </c>
      <c r="G129" t="s">
        <v>1824</v>
      </c>
      <c r="H129" t="s">
        <v>23</v>
      </c>
      <c r="I129" s="1" t="s">
        <v>1175</v>
      </c>
      <c r="J129" s="7">
        <v>3</v>
      </c>
      <c r="K129" s="7">
        <v>2022</v>
      </c>
      <c r="L129" s="3">
        <v>115299.66</v>
      </c>
      <c r="M129" s="9" t="s">
        <v>1960</v>
      </c>
      <c r="N129" s="2" t="s">
        <v>1857</v>
      </c>
      <c r="O129" s="3">
        <v>9203880652</v>
      </c>
      <c r="P129" t="s">
        <v>20</v>
      </c>
      <c r="Q129">
        <v>3</v>
      </c>
      <c r="R129" t="s">
        <v>1962</v>
      </c>
    </row>
    <row r="130" spans="1:18" x14ac:dyDescent="0.35">
      <c r="A130" t="s">
        <v>159</v>
      </c>
      <c r="B130" t="s">
        <v>37</v>
      </c>
      <c r="C130" t="s">
        <v>14</v>
      </c>
      <c r="D130" t="s">
        <v>1938</v>
      </c>
      <c r="E130" s="3">
        <v>30</v>
      </c>
      <c r="F130" t="s">
        <v>1815</v>
      </c>
      <c r="G130" t="s">
        <v>1822</v>
      </c>
      <c r="H130" t="s">
        <v>23</v>
      </c>
      <c r="I130" s="1" t="s">
        <v>1176</v>
      </c>
      <c r="J130" s="7">
        <v>5</v>
      </c>
      <c r="K130" s="7">
        <v>2020</v>
      </c>
      <c r="L130" s="3">
        <v>72272.34</v>
      </c>
      <c r="M130" s="9" t="s">
        <v>1959</v>
      </c>
      <c r="N130" s="2" t="s">
        <v>1873</v>
      </c>
      <c r="O130" s="3">
        <v>3315377958</v>
      </c>
      <c r="P130" t="s">
        <v>12</v>
      </c>
      <c r="Q130">
        <v>2</v>
      </c>
      <c r="R130" t="s">
        <v>1963</v>
      </c>
    </row>
    <row r="131" spans="1:18" x14ac:dyDescent="0.35">
      <c r="A131" t="s">
        <v>160</v>
      </c>
      <c r="B131" t="s">
        <v>42</v>
      </c>
      <c r="C131" t="s">
        <v>14</v>
      </c>
      <c r="D131" t="s">
        <v>1936</v>
      </c>
      <c r="E131" s="3">
        <v>40</v>
      </c>
      <c r="F131" t="s">
        <v>1813</v>
      </c>
      <c r="G131" t="s">
        <v>1818</v>
      </c>
      <c r="H131" t="s">
        <v>11</v>
      </c>
      <c r="I131" s="1" t="s">
        <v>1177</v>
      </c>
      <c r="J131" s="7">
        <v>3</v>
      </c>
      <c r="K131" s="7">
        <v>2022</v>
      </c>
      <c r="L131" s="3">
        <v>117537.71</v>
      </c>
      <c r="M131" s="9" t="s">
        <v>1960</v>
      </c>
      <c r="N131" s="2" t="s">
        <v>1871</v>
      </c>
      <c r="O131" s="3">
        <v>9594652169</v>
      </c>
      <c r="P131" t="s">
        <v>15</v>
      </c>
      <c r="Q131">
        <v>4</v>
      </c>
      <c r="R131" t="s">
        <v>1963</v>
      </c>
    </row>
    <row r="132" spans="1:18" x14ac:dyDescent="0.35">
      <c r="A132" t="s">
        <v>161</v>
      </c>
      <c r="B132" t="s">
        <v>25</v>
      </c>
      <c r="C132" t="s">
        <v>14</v>
      </c>
      <c r="D132" t="s">
        <v>1940</v>
      </c>
      <c r="E132" s="3">
        <v>25</v>
      </c>
      <c r="F132" t="s">
        <v>1815</v>
      </c>
      <c r="G132" t="s">
        <v>1816</v>
      </c>
      <c r="H132" t="s">
        <v>19</v>
      </c>
      <c r="I132" s="1" t="s">
        <v>1178</v>
      </c>
      <c r="J132" s="7">
        <v>3</v>
      </c>
      <c r="K132" s="7">
        <v>2022</v>
      </c>
      <c r="L132" s="3">
        <v>51074.33</v>
      </c>
      <c r="M132" s="9" t="s">
        <v>1958</v>
      </c>
      <c r="N132" s="2" t="s">
        <v>1875</v>
      </c>
      <c r="O132" s="3">
        <v>7303379336</v>
      </c>
      <c r="P132" t="s">
        <v>15</v>
      </c>
      <c r="Q132">
        <v>4</v>
      </c>
      <c r="R132" t="s">
        <v>1962</v>
      </c>
    </row>
    <row r="133" spans="1:18" x14ac:dyDescent="0.35">
      <c r="A133" t="s">
        <v>162</v>
      </c>
      <c r="B133" t="s">
        <v>34</v>
      </c>
      <c r="C133" t="s">
        <v>18</v>
      </c>
      <c r="D133" t="s">
        <v>1916</v>
      </c>
      <c r="E133" s="3">
        <v>25</v>
      </c>
      <c r="F133" t="s">
        <v>1815</v>
      </c>
      <c r="G133" t="s">
        <v>1814</v>
      </c>
      <c r="H133" t="s">
        <v>23</v>
      </c>
      <c r="I133" s="1" t="s">
        <v>1179</v>
      </c>
      <c r="J133" s="7">
        <v>2</v>
      </c>
      <c r="K133" s="7">
        <v>2023</v>
      </c>
      <c r="L133" s="3">
        <v>98489.32</v>
      </c>
      <c r="M133" s="9" t="s">
        <v>1960</v>
      </c>
      <c r="N133" s="2" t="s">
        <v>1851</v>
      </c>
      <c r="O133" s="3">
        <v>5636205014</v>
      </c>
      <c r="P133" t="s">
        <v>15</v>
      </c>
      <c r="Q133">
        <v>4</v>
      </c>
      <c r="R133" t="s">
        <v>1963</v>
      </c>
    </row>
    <row r="134" spans="1:18" x14ac:dyDescent="0.35">
      <c r="A134" t="s">
        <v>163</v>
      </c>
      <c r="B134" t="s">
        <v>25</v>
      </c>
      <c r="C134" t="s">
        <v>62</v>
      </c>
      <c r="D134" t="s">
        <v>1922</v>
      </c>
      <c r="E134" s="3">
        <v>30</v>
      </c>
      <c r="F134" t="s">
        <v>1815</v>
      </c>
      <c r="G134" t="s">
        <v>1814</v>
      </c>
      <c r="H134" t="s">
        <v>19</v>
      </c>
      <c r="I134" s="1" t="s">
        <v>1180</v>
      </c>
      <c r="J134" s="7">
        <v>1</v>
      </c>
      <c r="K134" s="7">
        <v>2024</v>
      </c>
      <c r="L134" s="3">
        <v>112120.71</v>
      </c>
      <c r="M134" s="9" t="s">
        <v>1960</v>
      </c>
      <c r="N134" s="2" t="s">
        <v>1857</v>
      </c>
      <c r="O134" s="3">
        <v>812473949</v>
      </c>
      <c r="P134" t="s">
        <v>27</v>
      </c>
      <c r="Q134">
        <v>1</v>
      </c>
      <c r="R134" t="s">
        <v>1962</v>
      </c>
    </row>
    <row r="135" spans="1:18" x14ac:dyDescent="0.35">
      <c r="A135" t="s">
        <v>164</v>
      </c>
      <c r="B135" t="s">
        <v>17</v>
      </c>
      <c r="C135" t="s">
        <v>18</v>
      </c>
      <c r="D135" t="s">
        <v>1894</v>
      </c>
      <c r="E135" s="3">
        <v>30</v>
      </c>
      <c r="F135" t="s">
        <v>1819</v>
      </c>
      <c r="G135" t="s">
        <v>1822</v>
      </c>
      <c r="H135" t="s">
        <v>19</v>
      </c>
      <c r="I135" s="1" t="s">
        <v>1181</v>
      </c>
      <c r="J135" s="7">
        <v>2</v>
      </c>
      <c r="K135" s="7">
        <v>2023</v>
      </c>
      <c r="L135" s="3">
        <v>114465.04</v>
      </c>
      <c r="M135" s="9" t="s">
        <v>1960</v>
      </c>
      <c r="N135" s="2" t="s">
        <v>1829</v>
      </c>
      <c r="O135" s="3">
        <v>334234257</v>
      </c>
      <c r="P135" t="s">
        <v>20</v>
      </c>
      <c r="Q135">
        <v>3</v>
      </c>
      <c r="R135" t="s">
        <v>1963</v>
      </c>
    </row>
    <row r="136" spans="1:18" x14ac:dyDescent="0.35">
      <c r="A136" t="s">
        <v>165</v>
      </c>
      <c r="B136" t="s">
        <v>9</v>
      </c>
      <c r="C136" t="s">
        <v>10</v>
      </c>
      <c r="D136" t="s">
        <v>1892</v>
      </c>
      <c r="E136" s="3">
        <v>40</v>
      </c>
      <c r="F136" t="s">
        <v>1819</v>
      </c>
      <c r="G136" t="s">
        <v>1818</v>
      </c>
      <c r="H136" t="s">
        <v>19</v>
      </c>
      <c r="I136" s="1" t="s">
        <v>1182</v>
      </c>
      <c r="J136" s="7">
        <v>1</v>
      </c>
      <c r="K136" s="7">
        <v>2024</v>
      </c>
      <c r="L136" s="3">
        <v>57035.51</v>
      </c>
      <c r="M136" s="9" t="s">
        <v>1958</v>
      </c>
      <c r="N136" s="2" t="s">
        <v>1827</v>
      </c>
      <c r="O136" s="3">
        <v>3230241025</v>
      </c>
      <c r="P136" t="s">
        <v>27</v>
      </c>
      <c r="Q136">
        <v>1</v>
      </c>
      <c r="R136" t="s">
        <v>1962</v>
      </c>
    </row>
    <row r="137" spans="1:18" x14ac:dyDescent="0.35">
      <c r="A137" t="s">
        <v>166</v>
      </c>
      <c r="B137" t="s">
        <v>22</v>
      </c>
      <c r="C137" t="s">
        <v>18</v>
      </c>
      <c r="D137" t="s">
        <v>1945</v>
      </c>
      <c r="E137" s="3">
        <v>25</v>
      </c>
      <c r="F137" t="s">
        <v>1819</v>
      </c>
      <c r="G137" t="s">
        <v>1814</v>
      </c>
      <c r="H137" t="s">
        <v>11</v>
      </c>
      <c r="I137" s="1" t="s">
        <v>1183</v>
      </c>
      <c r="J137" s="7">
        <v>4</v>
      </c>
      <c r="K137" s="7">
        <v>2021</v>
      </c>
      <c r="L137" s="3">
        <v>75092.429999999993</v>
      </c>
      <c r="M137" s="9" t="s">
        <v>1959</v>
      </c>
      <c r="N137" s="2" t="s">
        <v>1880</v>
      </c>
      <c r="O137" s="3">
        <v>1534735527</v>
      </c>
      <c r="P137" t="s">
        <v>15</v>
      </c>
      <c r="Q137">
        <v>4</v>
      </c>
      <c r="R137" t="s">
        <v>1962</v>
      </c>
    </row>
    <row r="138" spans="1:18" x14ac:dyDescent="0.35">
      <c r="A138" t="s">
        <v>167</v>
      </c>
      <c r="B138" t="s">
        <v>37</v>
      </c>
      <c r="C138" t="s">
        <v>62</v>
      </c>
      <c r="D138" t="s">
        <v>1949</v>
      </c>
      <c r="E138" s="3">
        <v>30</v>
      </c>
      <c r="F138" t="s">
        <v>1815</v>
      </c>
      <c r="G138" t="s">
        <v>1824</v>
      </c>
      <c r="H138" t="s">
        <v>19</v>
      </c>
      <c r="I138" s="1" t="s">
        <v>1158</v>
      </c>
      <c r="J138" s="7">
        <v>1</v>
      </c>
      <c r="K138" s="7">
        <v>2024</v>
      </c>
      <c r="L138" s="3">
        <v>62603.98</v>
      </c>
      <c r="M138" s="9" t="s">
        <v>1959</v>
      </c>
      <c r="N138" s="2" t="s">
        <v>1884</v>
      </c>
      <c r="O138" s="3">
        <v>9611223385</v>
      </c>
      <c r="P138" t="s">
        <v>20</v>
      </c>
      <c r="Q138">
        <v>3</v>
      </c>
      <c r="R138" t="s">
        <v>1963</v>
      </c>
    </row>
    <row r="139" spans="1:18" x14ac:dyDescent="0.35">
      <c r="A139" t="s">
        <v>168</v>
      </c>
      <c r="B139" t="s">
        <v>42</v>
      </c>
      <c r="C139" t="s">
        <v>62</v>
      </c>
      <c r="D139" t="s">
        <v>1921</v>
      </c>
      <c r="E139" s="3">
        <v>30</v>
      </c>
      <c r="F139" t="s">
        <v>1813</v>
      </c>
      <c r="G139" t="s">
        <v>1822</v>
      </c>
      <c r="H139" t="s">
        <v>23</v>
      </c>
      <c r="I139" s="1" t="s">
        <v>1184</v>
      </c>
      <c r="J139" s="7">
        <v>2</v>
      </c>
      <c r="K139" s="7">
        <v>2023</v>
      </c>
      <c r="L139" s="3">
        <v>60018.239999999998</v>
      </c>
      <c r="M139" s="9" t="s">
        <v>1959</v>
      </c>
      <c r="N139" s="2" t="s">
        <v>1856</v>
      </c>
      <c r="O139" s="3">
        <v>5596309937</v>
      </c>
      <c r="P139" t="s">
        <v>15</v>
      </c>
      <c r="Q139">
        <v>4</v>
      </c>
      <c r="R139" t="s">
        <v>1963</v>
      </c>
    </row>
    <row r="140" spans="1:18" x14ac:dyDescent="0.35">
      <c r="A140" t="s">
        <v>169</v>
      </c>
      <c r="B140" t="s">
        <v>22</v>
      </c>
      <c r="C140" t="s">
        <v>10</v>
      </c>
      <c r="D140" t="s">
        <v>1895</v>
      </c>
      <c r="E140" s="3">
        <v>40</v>
      </c>
      <c r="F140" t="s">
        <v>1823</v>
      </c>
      <c r="G140" t="s">
        <v>1818</v>
      </c>
      <c r="H140" t="s">
        <v>11</v>
      </c>
      <c r="I140" s="1" t="s">
        <v>1185</v>
      </c>
      <c r="J140" s="7">
        <v>1</v>
      </c>
      <c r="K140" s="7">
        <v>2024</v>
      </c>
      <c r="L140" s="3">
        <v>82567.73</v>
      </c>
      <c r="M140" s="9" t="s">
        <v>1959</v>
      </c>
      <c r="N140" s="2" t="s">
        <v>1830</v>
      </c>
      <c r="O140" s="3">
        <v>4253042896</v>
      </c>
      <c r="P140" t="s">
        <v>27</v>
      </c>
      <c r="Q140">
        <v>1</v>
      </c>
      <c r="R140" t="s">
        <v>1962</v>
      </c>
    </row>
    <row r="141" spans="1:18" x14ac:dyDescent="0.35">
      <c r="A141" t="s">
        <v>170</v>
      </c>
      <c r="B141" t="s">
        <v>34</v>
      </c>
      <c r="C141" t="s">
        <v>62</v>
      </c>
      <c r="D141" t="s">
        <v>1934</v>
      </c>
      <c r="E141" s="3">
        <v>25</v>
      </c>
      <c r="F141" t="s">
        <v>1815</v>
      </c>
      <c r="G141" t="s">
        <v>1814</v>
      </c>
      <c r="H141" t="s">
        <v>19</v>
      </c>
      <c r="I141" s="1" t="s">
        <v>1186</v>
      </c>
      <c r="J141" s="7">
        <v>4</v>
      </c>
      <c r="K141" s="7">
        <v>2021</v>
      </c>
      <c r="L141" s="3">
        <v>94725.71</v>
      </c>
      <c r="M141" s="9" t="s">
        <v>1960</v>
      </c>
      <c r="N141" s="2" t="s">
        <v>1869</v>
      </c>
      <c r="O141" s="3">
        <v>3179128684</v>
      </c>
      <c r="P141" t="s">
        <v>27</v>
      </c>
      <c r="Q141">
        <v>1</v>
      </c>
      <c r="R141" t="s">
        <v>1963</v>
      </c>
    </row>
    <row r="142" spans="1:18" x14ac:dyDescent="0.35">
      <c r="A142" t="s">
        <v>171</v>
      </c>
      <c r="B142" t="s">
        <v>22</v>
      </c>
      <c r="C142" t="s">
        <v>29</v>
      </c>
      <c r="D142" t="s">
        <v>1946</v>
      </c>
      <c r="E142" s="3">
        <v>40</v>
      </c>
      <c r="F142" t="s">
        <v>1823</v>
      </c>
      <c r="G142" t="s">
        <v>1822</v>
      </c>
      <c r="H142" t="s">
        <v>23</v>
      </c>
      <c r="I142" s="1" t="s">
        <v>1123</v>
      </c>
      <c r="J142" s="7">
        <v>1</v>
      </c>
      <c r="K142" s="7">
        <v>2024</v>
      </c>
      <c r="L142" s="3">
        <v>83824.56</v>
      </c>
      <c r="M142" s="9" t="s">
        <v>1959</v>
      </c>
      <c r="N142" s="2" t="s">
        <v>1881</v>
      </c>
      <c r="O142" s="3">
        <v>7872558776</v>
      </c>
      <c r="P142" t="s">
        <v>27</v>
      </c>
      <c r="Q142">
        <v>1</v>
      </c>
      <c r="R142" t="s">
        <v>1963</v>
      </c>
    </row>
    <row r="143" spans="1:18" x14ac:dyDescent="0.35">
      <c r="A143" t="s">
        <v>172</v>
      </c>
      <c r="B143" t="s">
        <v>25</v>
      </c>
      <c r="C143" t="s">
        <v>62</v>
      </c>
      <c r="D143" t="s">
        <v>1922</v>
      </c>
      <c r="E143" s="3">
        <v>30</v>
      </c>
      <c r="F143" t="s">
        <v>1823</v>
      </c>
      <c r="G143" t="s">
        <v>1818</v>
      </c>
      <c r="H143" t="s">
        <v>23</v>
      </c>
      <c r="I143" s="1" t="s">
        <v>1187</v>
      </c>
      <c r="J143" s="7">
        <v>5</v>
      </c>
      <c r="K143" s="7">
        <v>2020</v>
      </c>
      <c r="L143" s="3">
        <v>118456.11</v>
      </c>
      <c r="M143" s="9" t="s">
        <v>1960</v>
      </c>
      <c r="N143" s="2" t="s">
        <v>1857</v>
      </c>
      <c r="O143" s="3">
        <v>4969033372</v>
      </c>
      <c r="P143" t="s">
        <v>15</v>
      </c>
      <c r="Q143">
        <v>4</v>
      </c>
      <c r="R143" t="s">
        <v>1962</v>
      </c>
    </row>
    <row r="144" spans="1:18" x14ac:dyDescent="0.35">
      <c r="A144" t="s">
        <v>173</v>
      </c>
      <c r="B144" t="s">
        <v>22</v>
      </c>
      <c r="C144" t="s">
        <v>14</v>
      </c>
      <c r="D144" t="s">
        <v>1927</v>
      </c>
      <c r="E144" s="3">
        <v>25</v>
      </c>
      <c r="F144" t="s">
        <v>1821</v>
      </c>
      <c r="G144" t="s">
        <v>1818</v>
      </c>
      <c r="H144" t="s">
        <v>19</v>
      </c>
      <c r="I144" s="1" t="s">
        <v>1188</v>
      </c>
      <c r="J144" s="7">
        <v>5</v>
      </c>
      <c r="K144" s="7">
        <v>2020</v>
      </c>
      <c r="L144" s="3">
        <v>113743.19</v>
      </c>
      <c r="M144" s="9" t="s">
        <v>1960</v>
      </c>
      <c r="N144" s="2" t="s">
        <v>1862</v>
      </c>
      <c r="O144" s="3">
        <v>6346692547</v>
      </c>
      <c r="P144" t="s">
        <v>20</v>
      </c>
      <c r="Q144">
        <v>3</v>
      </c>
      <c r="R144" t="s">
        <v>1962</v>
      </c>
    </row>
    <row r="145" spans="1:18" x14ac:dyDescent="0.35">
      <c r="A145" t="s">
        <v>174</v>
      </c>
      <c r="B145" t="s">
        <v>22</v>
      </c>
      <c r="C145" t="s">
        <v>29</v>
      </c>
      <c r="D145" t="s">
        <v>1946</v>
      </c>
      <c r="E145" s="3">
        <v>30</v>
      </c>
      <c r="F145" t="s">
        <v>1821</v>
      </c>
      <c r="G145" t="s">
        <v>1814</v>
      </c>
      <c r="H145" t="s">
        <v>11</v>
      </c>
      <c r="I145" s="1" t="s">
        <v>1189</v>
      </c>
      <c r="J145" s="7">
        <v>2</v>
      </c>
      <c r="K145" s="7">
        <v>2023</v>
      </c>
      <c r="L145" s="3">
        <v>63309.24</v>
      </c>
      <c r="M145" s="9" t="s">
        <v>1959</v>
      </c>
      <c r="N145" s="2" t="s">
        <v>1881</v>
      </c>
      <c r="O145" s="3">
        <v>1214785389</v>
      </c>
      <c r="P145" t="s">
        <v>20</v>
      </c>
      <c r="Q145">
        <v>3</v>
      </c>
      <c r="R145" t="s">
        <v>1963</v>
      </c>
    </row>
    <row r="146" spans="1:18" x14ac:dyDescent="0.35">
      <c r="A146" t="s">
        <v>175</v>
      </c>
      <c r="B146" t="s">
        <v>34</v>
      </c>
      <c r="C146" t="s">
        <v>29</v>
      </c>
      <c r="D146" t="s">
        <v>1909</v>
      </c>
      <c r="E146" s="3">
        <v>25</v>
      </c>
      <c r="F146" t="s">
        <v>1813</v>
      </c>
      <c r="G146" t="s">
        <v>1818</v>
      </c>
      <c r="H146" t="s">
        <v>11</v>
      </c>
      <c r="I146" s="1" t="s">
        <v>1190</v>
      </c>
      <c r="J146" s="7">
        <v>4</v>
      </c>
      <c r="K146" s="7">
        <v>2021</v>
      </c>
      <c r="L146" s="3">
        <v>105202.73</v>
      </c>
      <c r="M146" s="9" t="s">
        <v>1960</v>
      </c>
      <c r="N146" s="2" t="s">
        <v>1844</v>
      </c>
      <c r="O146" s="3">
        <v>7895677664</v>
      </c>
      <c r="P146" t="s">
        <v>15</v>
      </c>
      <c r="Q146">
        <v>4</v>
      </c>
      <c r="R146" t="s">
        <v>1962</v>
      </c>
    </row>
    <row r="147" spans="1:18" x14ac:dyDescent="0.35">
      <c r="A147" t="s">
        <v>176</v>
      </c>
      <c r="B147" t="s">
        <v>25</v>
      </c>
      <c r="C147" t="s">
        <v>10</v>
      </c>
      <c r="D147" t="s">
        <v>1900</v>
      </c>
      <c r="E147" s="3">
        <v>30</v>
      </c>
      <c r="F147" t="s">
        <v>1819</v>
      </c>
      <c r="G147" t="s">
        <v>1814</v>
      </c>
      <c r="H147" t="s">
        <v>23</v>
      </c>
      <c r="I147" s="1" t="s">
        <v>1191</v>
      </c>
      <c r="J147" s="7">
        <v>1</v>
      </c>
      <c r="K147" s="7">
        <v>2024</v>
      </c>
      <c r="L147" s="3">
        <v>79085.22</v>
      </c>
      <c r="M147" s="9" t="s">
        <v>1959</v>
      </c>
      <c r="N147" s="2" t="s">
        <v>1835</v>
      </c>
      <c r="O147" s="3">
        <v>7546027340</v>
      </c>
      <c r="P147" t="s">
        <v>20</v>
      </c>
      <c r="Q147">
        <v>3</v>
      </c>
      <c r="R147" t="s">
        <v>1962</v>
      </c>
    </row>
    <row r="148" spans="1:18" x14ac:dyDescent="0.35">
      <c r="A148" t="s">
        <v>177</v>
      </c>
      <c r="B148" t="s">
        <v>25</v>
      </c>
      <c r="C148" t="s">
        <v>26</v>
      </c>
      <c r="D148" t="s">
        <v>1896</v>
      </c>
      <c r="E148" s="3">
        <v>30</v>
      </c>
      <c r="F148" t="s">
        <v>1821</v>
      </c>
      <c r="G148" t="s">
        <v>1814</v>
      </c>
      <c r="H148" t="s">
        <v>11</v>
      </c>
      <c r="I148" s="1" t="s">
        <v>1192</v>
      </c>
      <c r="J148" s="7">
        <v>4</v>
      </c>
      <c r="K148" s="7">
        <v>2021</v>
      </c>
      <c r="L148" s="3">
        <v>113983.43</v>
      </c>
      <c r="M148" s="9" t="s">
        <v>1960</v>
      </c>
      <c r="N148" s="2" t="s">
        <v>1831</v>
      </c>
      <c r="O148" s="3">
        <v>5148881430</v>
      </c>
      <c r="P148" t="s">
        <v>15</v>
      </c>
      <c r="Q148">
        <v>4</v>
      </c>
      <c r="R148" t="s">
        <v>1962</v>
      </c>
    </row>
    <row r="149" spans="1:18" x14ac:dyDescent="0.35">
      <c r="A149" t="s">
        <v>178</v>
      </c>
      <c r="B149" t="s">
        <v>22</v>
      </c>
      <c r="C149" t="s">
        <v>26</v>
      </c>
      <c r="D149" t="s">
        <v>1923</v>
      </c>
      <c r="E149" s="3">
        <v>35</v>
      </c>
      <c r="F149" t="s">
        <v>1819</v>
      </c>
      <c r="G149" t="s">
        <v>1820</v>
      </c>
      <c r="H149" t="s">
        <v>11</v>
      </c>
      <c r="I149" s="1" t="s">
        <v>1193</v>
      </c>
      <c r="J149" s="7">
        <v>5</v>
      </c>
      <c r="K149" s="7">
        <v>2020</v>
      </c>
      <c r="L149" s="3">
        <v>102790.6</v>
      </c>
      <c r="M149" s="9" t="s">
        <v>1960</v>
      </c>
      <c r="N149" s="2" t="s">
        <v>1858</v>
      </c>
      <c r="O149" s="3">
        <v>1150835353</v>
      </c>
      <c r="P149" t="s">
        <v>20</v>
      </c>
      <c r="Q149">
        <v>3</v>
      </c>
      <c r="R149" t="s">
        <v>1963</v>
      </c>
    </row>
    <row r="150" spans="1:18" x14ac:dyDescent="0.35">
      <c r="A150" t="s">
        <v>179</v>
      </c>
      <c r="B150" t="s">
        <v>42</v>
      </c>
      <c r="C150" t="s">
        <v>62</v>
      </c>
      <c r="D150" t="s">
        <v>1921</v>
      </c>
      <c r="E150" s="3">
        <v>30</v>
      </c>
      <c r="F150" t="s">
        <v>1823</v>
      </c>
      <c r="G150" t="s">
        <v>1816</v>
      </c>
      <c r="H150" t="s">
        <v>23</v>
      </c>
      <c r="I150" s="1" t="s">
        <v>1194</v>
      </c>
      <c r="J150" s="7">
        <v>5</v>
      </c>
      <c r="K150" s="7">
        <v>2020</v>
      </c>
      <c r="L150" s="3">
        <v>68512.100000000006</v>
      </c>
      <c r="M150" s="9" t="s">
        <v>1959</v>
      </c>
      <c r="N150" s="2" t="s">
        <v>1856</v>
      </c>
      <c r="O150" s="3">
        <v>4439284043</v>
      </c>
      <c r="P150" t="s">
        <v>12</v>
      </c>
      <c r="Q150">
        <v>2</v>
      </c>
      <c r="R150" t="s">
        <v>1963</v>
      </c>
    </row>
    <row r="151" spans="1:18" x14ac:dyDescent="0.35">
      <c r="A151" t="s">
        <v>180</v>
      </c>
      <c r="B151" t="s">
        <v>25</v>
      </c>
      <c r="C151" t="s">
        <v>29</v>
      </c>
      <c r="D151" t="s">
        <v>1932</v>
      </c>
      <c r="E151" s="3">
        <v>35</v>
      </c>
      <c r="F151" t="s">
        <v>1821</v>
      </c>
      <c r="G151" t="s">
        <v>1820</v>
      </c>
      <c r="H151" t="s">
        <v>19</v>
      </c>
      <c r="I151" s="1" t="s">
        <v>1195</v>
      </c>
      <c r="J151" s="7">
        <v>3</v>
      </c>
      <c r="K151" s="7">
        <v>2022</v>
      </c>
      <c r="L151" s="3">
        <v>57584.23</v>
      </c>
      <c r="M151" s="9" t="s">
        <v>1958</v>
      </c>
      <c r="N151" s="2" t="s">
        <v>1867</v>
      </c>
      <c r="O151" s="3">
        <v>5669078262</v>
      </c>
      <c r="P151" t="s">
        <v>12</v>
      </c>
      <c r="Q151">
        <v>2</v>
      </c>
      <c r="R151" t="s">
        <v>1962</v>
      </c>
    </row>
    <row r="152" spans="1:18" x14ac:dyDescent="0.35">
      <c r="A152" t="s">
        <v>181</v>
      </c>
      <c r="B152" t="s">
        <v>17</v>
      </c>
      <c r="C152" t="s">
        <v>26</v>
      </c>
      <c r="D152" t="s">
        <v>1950</v>
      </c>
      <c r="E152" s="3">
        <v>30</v>
      </c>
      <c r="F152" t="s">
        <v>1821</v>
      </c>
      <c r="G152" t="s">
        <v>1814</v>
      </c>
      <c r="H152" t="s">
        <v>19</v>
      </c>
      <c r="I152" s="1" t="s">
        <v>1196</v>
      </c>
      <c r="J152" s="7">
        <v>4</v>
      </c>
      <c r="K152" s="7">
        <v>2021</v>
      </c>
      <c r="L152" s="3">
        <v>95335.67</v>
      </c>
      <c r="M152" s="9" t="s">
        <v>1960</v>
      </c>
      <c r="N152" s="2" t="s">
        <v>1885</v>
      </c>
      <c r="O152" s="3">
        <v>3373898774</v>
      </c>
      <c r="P152" t="s">
        <v>27</v>
      </c>
      <c r="Q152">
        <v>1</v>
      </c>
      <c r="R152" t="s">
        <v>1963</v>
      </c>
    </row>
    <row r="153" spans="1:18" x14ac:dyDescent="0.35">
      <c r="A153" t="s">
        <v>182</v>
      </c>
      <c r="B153" t="s">
        <v>40</v>
      </c>
      <c r="C153" t="s">
        <v>26</v>
      </c>
      <c r="D153" t="s">
        <v>1904</v>
      </c>
      <c r="E153" s="3">
        <v>35</v>
      </c>
      <c r="F153" t="s">
        <v>1813</v>
      </c>
      <c r="G153" t="s">
        <v>1820</v>
      </c>
      <c r="H153" t="s">
        <v>11</v>
      </c>
      <c r="I153" s="1" t="s">
        <v>1197</v>
      </c>
      <c r="J153" s="7">
        <v>5</v>
      </c>
      <c r="K153" s="7">
        <v>2020</v>
      </c>
      <c r="L153" s="3">
        <v>53174.28</v>
      </c>
      <c r="M153" s="9" t="s">
        <v>1958</v>
      </c>
      <c r="N153" s="2" t="s">
        <v>1839</v>
      </c>
      <c r="O153" s="3">
        <v>1536637779</v>
      </c>
      <c r="P153" t="s">
        <v>12</v>
      </c>
      <c r="Q153">
        <v>2</v>
      </c>
      <c r="R153" t="s">
        <v>1962</v>
      </c>
    </row>
    <row r="154" spans="1:18" x14ac:dyDescent="0.35">
      <c r="A154" t="s">
        <v>183</v>
      </c>
      <c r="B154" t="s">
        <v>40</v>
      </c>
      <c r="C154" t="s">
        <v>62</v>
      </c>
      <c r="D154" t="s">
        <v>1951</v>
      </c>
      <c r="E154" s="3">
        <v>25</v>
      </c>
      <c r="F154" t="s">
        <v>1819</v>
      </c>
      <c r="G154" t="s">
        <v>1822</v>
      </c>
      <c r="H154" t="s">
        <v>19</v>
      </c>
      <c r="I154" s="1" t="s">
        <v>1198</v>
      </c>
      <c r="J154" s="7">
        <v>5</v>
      </c>
      <c r="K154" s="7">
        <v>2020</v>
      </c>
      <c r="L154" s="3">
        <v>77205.210000000006</v>
      </c>
      <c r="M154" s="9" t="s">
        <v>1959</v>
      </c>
      <c r="N154" s="2" t="s">
        <v>1886</v>
      </c>
      <c r="O154" s="3">
        <v>5292407552</v>
      </c>
      <c r="P154" t="s">
        <v>12</v>
      </c>
      <c r="Q154">
        <v>2</v>
      </c>
      <c r="R154" t="s">
        <v>1963</v>
      </c>
    </row>
    <row r="155" spans="1:18" x14ac:dyDescent="0.35">
      <c r="A155" t="s">
        <v>184</v>
      </c>
      <c r="B155" t="s">
        <v>42</v>
      </c>
      <c r="C155" t="s">
        <v>26</v>
      </c>
      <c r="D155" t="s">
        <v>1905</v>
      </c>
      <c r="E155" s="3">
        <v>30</v>
      </c>
      <c r="F155" t="s">
        <v>1813</v>
      </c>
      <c r="G155" t="s">
        <v>1818</v>
      </c>
      <c r="H155" t="s">
        <v>11</v>
      </c>
      <c r="I155" s="1" t="s">
        <v>1199</v>
      </c>
      <c r="J155" s="7">
        <v>0</v>
      </c>
      <c r="K155" s="7">
        <v>2024</v>
      </c>
      <c r="L155" s="3">
        <v>79041.919999999998</v>
      </c>
      <c r="M155" s="9" t="s">
        <v>1959</v>
      </c>
      <c r="N155" s="2" t="s">
        <v>1840</v>
      </c>
      <c r="O155" s="3">
        <v>6668459089</v>
      </c>
      <c r="P155" t="s">
        <v>12</v>
      </c>
      <c r="Q155">
        <v>2</v>
      </c>
      <c r="R155" t="s">
        <v>1962</v>
      </c>
    </row>
    <row r="156" spans="1:18" x14ac:dyDescent="0.35">
      <c r="A156" t="s">
        <v>185</v>
      </c>
      <c r="B156" t="s">
        <v>40</v>
      </c>
      <c r="C156" t="s">
        <v>18</v>
      </c>
      <c r="D156" t="s">
        <v>1947</v>
      </c>
      <c r="E156" s="3">
        <v>30</v>
      </c>
      <c r="F156" t="s">
        <v>1815</v>
      </c>
      <c r="G156" t="s">
        <v>1814</v>
      </c>
      <c r="H156" t="s">
        <v>11</v>
      </c>
      <c r="I156" s="1" t="s">
        <v>1200</v>
      </c>
      <c r="J156" s="7">
        <v>2</v>
      </c>
      <c r="K156" s="7">
        <v>2023</v>
      </c>
      <c r="L156" s="3">
        <v>75937.100000000006</v>
      </c>
      <c r="M156" s="9" t="s">
        <v>1959</v>
      </c>
      <c r="N156" s="2" t="s">
        <v>1882</v>
      </c>
      <c r="O156" s="3">
        <v>2259999662</v>
      </c>
      <c r="P156" t="s">
        <v>15</v>
      </c>
      <c r="Q156">
        <v>4</v>
      </c>
      <c r="R156" t="s">
        <v>1962</v>
      </c>
    </row>
    <row r="157" spans="1:18" x14ac:dyDescent="0.35">
      <c r="A157" t="s">
        <v>186</v>
      </c>
      <c r="B157" t="s">
        <v>37</v>
      </c>
      <c r="C157" t="s">
        <v>35</v>
      </c>
      <c r="D157" t="s">
        <v>1937</v>
      </c>
      <c r="E157" s="3">
        <v>35</v>
      </c>
      <c r="F157" t="s">
        <v>1819</v>
      </c>
      <c r="G157" t="s">
        <v>1818</v>
      </c>
      <c r="H157" t="s">
        <v>23</v>
      </c>
      <c r="I157" s="1" t="s">
        <v>1201</v>
      </c>
      <c r="J157" s="7">
        <v>2</v>
      </c>
      <c r="K157" s="7">
        <v>2023</v>
      </c>
      <c r="L157" s="3">
        <v>113118.73</v>
      </c>
      <c r="M157" s="9" t="s">
        <v>1960</v>
      </c>
      <c r="N157" s="2" t="s">
        <v>1872</v>
      </c>
      <c r="O157" s="3">
        <v>6186371596</v>
      </c>
      <c r="P157" t="s">
        <v>12</v>
      </c>
      <c r="Q157">
        <v>2</v>
      </c>
      <c r="R157" t="s">
        <v>1963</v>
      </c>
    </row>
    <row r="158" spans="1:18" x14ac:dyDescent="0.35">
      <c r="A158" t="s">
        <v>187</v>
      </c>
      <c r="B158" t="s">
        <v>17</v>
      </c>
      <c r="C158" t="s">
        <v>10</v>
      </c>
      <c r="D158" t="s">
        <v>1928</v>
      </c>
      <c r="E158" s="3">
        <v>40</v>
      </c>
      <c r="F158" t="s">
        <v>1823</v>
      </c>
      <c r="G158" t="s">
        <v>1822</v>
      </c>
      <c r="H158" t="s">
        <v>11</v>
      </c>
      <c r="I158" s="1" t="s">
        <v>1202</v>
      </c>
      <c r="J158" s="7">
        <v>1</v>
      </c>
      <c r="K158" s="7">
        <v>2024</v>
      </c>
      <c r="L158" s="3">
        <v>107693.38</v>
      </c>
      <c r="M158" s="9" t="s">
        <v>1960</v>
      </c>
      <c r="N158" s="2" t="s">
        <v>1863</v>
      </c>
      <c r="O158" s="3">
        <v>4121820969</v>
      </c>
      <c r="P158" t="s">
        <v>12</v>
      </c>
      <c r="Q158">
        <v>2</v>
      </c>
      <c r="R158" t="s">
        <v>1962</v>
      </c>
    </row>
    <row r="159" spans="1:18" x14ac:dyDescent="0.35">
      <c r="A159" t="s">
        <v>188</v>
      </c>
      <c r="B159" t="s">
        <v>37</v>
      </c>
      <c r="C159" t="s">
        <v>35</v>
      </c>
      <c r="D159" t="s">
        <v>1937</v>
      </c>
      <c r="E159" s="3">
        <v>30</v>
      </c>
      <c r="F159" t="s">
        <v>1819</v>
      </c>
      <c r="G159" t="s">
        <v>1816</v>
      </c>
      <c r="H159" t="s">
        <v>23</v>
      </c>
      <c r="I159" s="1" t="s">
        <v>1203</v>
      </c>
      <c r="J159" s="7">
        <v>4</v>
      </c>
      <c r="K159" s="7">
        <v>2021</v>
      </c>
      <c r="L159" s="3">
        <v>119217.46</v>
      </c>
      <c r="M159" s="9" t="s">
        <v>1960</v>
      </c>
      <c r="N159" s="2" t="s">
        <v>1872</v>
      </c>
      <c r="O159" s="3">
        <v>2316433480</v>
      </c>
      <c r="P159" t="s">
        <v>27</v>
      </c>
      <c r="Q159">
        <v>1</v>
      </c>
      <c r="R159" t="s">
        <v>1963</v>
      </c>
    </row>
    <row r="160" spans="1:18" x14ac:dyDescent="0.35">
      <c r="A160" t="s">
        <v>189</v>
      </c>
      <c r="B160" t="s">
        <v>37</v>
      </c>
      <c r="C160" t="s">
        <v>62</v>
      </c>
      <c r="D160" t="s">
        <v>1949</v>
      </c>
      <c r="E160" s="3">
        <v>25</v>
      </c>
      <c r="F160" t="s">
        <v>1821</v>
      </c>
      <c r="G160" t="s">
        <v>1822</v>
      </c>
      <c r="H160" t="s">
        <v>19</v>
      </c>
      <c r="I160" s="1" t="s">
        <v>1204</v>
      </c>
      <c r="J160" s="7">
        <v>4</v>
      </c>
      <c r="K160" s="7">
        <v>2021</v>
      </c>
      <c r="L160" s="3">
        <v>106913.71</v>
      </c>
      <c r="M160" s="9" t="s">
        <v>1960</v>
      </c>
      <c r="N160" s="2" t="s">
        <v>1884</v>
      </c>
      <c r="O160" s="3">
        <v>7058025661</v>
      </c>
      <c r="P160" t="s">
        <v>12</v>
      </c>
      <c r="Q160">
        <v>2</v>
      </c>
      <c r="R160" t="s">
        <v>1963</v>
      </c>
    </row>
    <row r="161" spans="1:18" x14ac:dyDescent="0.35">
      <c r="A161" t="s">
        <v>190</v>
      </c>
      <c r="B161" t="s">
        <v>34</v>
      </c>
      <c r="C161" t="s">
        <v>14</v>
      </c>
      <c r="D161" t="s">
        <v>1918</v>
      </c>
      <c r="E161" s="3">
        <v>30</v>
      </c>
      <c r="F161" t="s">
        <v>1819</v>
      </c>
      <c r="G161" t="s">
        <v>1814</v>
      </c>
      <c r="H161" t="s">
        <v>11</v>
      </c>
      <c r="I161" s="1" t="s">
        <v>1205</v>
      </c>
      <c r="J161" s="7">
        <v>5</v>
      </c>
      <c r="K161" s="7">
        <v>2020</v>
      </c>
      <c r="L161" s="3">
        <v>87815.08</v>
      </c>
      <c r="M161" s="9" t="s">
        <v>1960</v>
      </c>
      <c r="N161" s="2" t="s">
        <v>1853</v>
      </c>
      <c r="O161" s="3">
        <v>1286716322</v>
      </c>
      <c r="P161" t="s">
        <v>12</v>
      </c>
      <c r="Q161">
        <v>2</v>
      </c>
      <c r="R161" t="s">
        <v>1962</v>
      </c>
    </row>
    <row r="162" spans="1:18" x14ac:dyDescent="0.35">
      <c r="A162" t="s">
        <v>191</v>
      </c>
      <c r="B162" t="s">
        <v>9</v>
      </c>
      <c r="C162" t="s">
        <v>10</v>
      </c>
      <c r="D162" t="s">
        <v>1892</v>
      </c>
      <c r="E162" s="3">
        <v>25</v>
      </c>
      <c r="F162" t="s">
        <v>1817</v>
      </c>
      <c r="G162" t="s">
        <v>1816</v>
      </c>
      <c r="H162" t="s">
        <v>23</v>
      </c>
      <c r="I162" s="1" t="s">
        <v>1206</v>
      </c>
      <c r="J162" s="7">
        <v>1</v>
      </c>
      <c r="K162" s="7">
        <v>2024</v>
      </c>
      <c r="L162" s="3">
        <v>105190.21</v>
      </c>
      <c r="M162" s="9" t="s">
        <v>1960</v>
      </c>
      <c r="N162" s="2" t="s">
        <v>1827</v>
      </c>
      <c r="O162" s="3">
        <v>4672994937</v>
      </c>
      <c r="P162" t="s">
        <v>20</v>
      </c>
      <c r="Q162">
        <v>3</v>
      </c>
      <c r="R162" t="s">
        <v>1962</v>
      </c>
    </row>
    <row r="163" spans="1:18" x14ac:dyDescent="0.35">
      <c r="A163" t="s">
        <v>192</v>
      </c>
      <c r="B163" t="s">
        <v>17</v>
      </c>
      <c r="C163" t="s">
        <v>62</v>
      </c>
      <c r="D163" t="s">
        <v>1933</v>
      </c>
      <c r="E163" s="3">
        <v>30</v>
      </c>
      <c r="F163" t="s">
        <v>1823</v>
      </c>
      <c r="G163" t="s">
        <v>1816</v>
      </c>
      <c r="H163" t="s">
        <v>11</v>
      </c>
      <c r="I163" s="1" t="s">
        <v>1207</v>
      </c>
      <c r="J163" s="7">
        <v>1</v>
      </c>
      <c r="K163" s="7">
        <v>2024</v>
      </c>
      <c r="L163" s="3">
        <v>79467.240000000005</v>
      </c>
      <c r="M163" s="9" t="s">
        <v>1959</v>
      </c>
      <c r="N163" s="2" t="s">
        <v>1868</v>
      </c>
      <c r="O163" s="3">
        <v>7430271692</v>
      </c>
      <c r="P163" t="s">
        <v>27</v>
      </c>
      <c r="Q163">
        <v>1</v>
      </c>
      <c r="R163" t="s">
        <v>1963</v>
      </c>
    </row>
    <row r="164" spans="1:18" x14ac:dyDescent="0.35">
      <c r="A164" t="s">
        <v>193</v>
      </c>
      <c r="B164" t="s">
        <v>9</v>
      </c>
      <c r="C164" t="s">
        <v>29</v>
      </c>
      <c r="D164" t="s">
        <v>1926</v>
      </c>
      <c r="E164" s="3">
        <v>40</v>
      </c>
      <c r="F164" t="s">
        <v>1815</v>
      </c>
      <c r="G164" t="s">
        <v>1814</v>
      </c>
      <c r="H164" t="s">
        <v>19</v>
      </c>
      <c r="I164" s="1" t="s">
        <v>1208</v>
      </c>
      <c r="J164" s="7">
        <v>2</v>
      </c>
      <c r="K164" s="7">
        <v>2023</v>
      </c>
      <c r="L164" s="3">
        <v>57633.78</v>
      </c>
      <c r="M164" s="9" t="s">
        <v>1958</v>
      </c>
      <c r="N164" s="2" t="s">
        <v>1861</v>
      </c>
      <c r="O164" s="3">
        <v>8597779013</v>
      </c>
      <c r="P164" t="s">
        <v>27</v>
      </c>
      <c r="Q164">
        <v>1</v>
      </c>
      <c r="R164" t="s">
        <v>1962</v>
      </c>
    </row>
    <row r="165" spans="1:18" x14ac:dyDescent="0.35">
      <c r="A165" t="s">
        <v>194</v>
      </c>
      <c r="B165" t="s">
        <v>17</v>
      </c>
      <c r="C165" t="s">
        <v>14</v>
      </c>
      <c r="D165" t="s">
        <v>1907</v>
      </c>
      <c r="E165" s="3">
        <v>30</v>
      </c>
      <c r="F165" t="s">
        <v>1823</v>
      </c>
      <c r="G165" t="s">
        <v>1820</v>
      </c>
      <c r="H165" t="s">
        <v>19</v>
      </c>
      <c r="I165" s="1" t="s">
        <v>1209</v>
      </c>
      <c r="J165" s="7">
        <v>5</v>
      </c>
      <c r="K165" s="7">
        <v>2020</v>
      </c>
      <c r="L165" s="3">
        <v>54257.78</v>
      </c>
      <c r="M165" s="9" t="s">
        <v>1958</v>
      </c>
      <c r="N165" s="2" t="s">
        <v>1842</v>
      </c>
      <c r="O165" s="3">
        <v>7546926328</v>
      </c>
      <c r="P165" t="s">
        <v>27</v>
      </c>
      <c r="Q165">
        <v>1</v>
      </c>
      <c r="R165" t="s">
        <v>1962</v>
      </c>
    </row>
    <row r="166" spans="1:18" x14ac:dyDescent="0.35">
      <c r="A166" t="s">
        <v>195</v>
      </c>
      <c r="B166" t="s">
        <v>42</v>
      </c>
      <c r="C166" t="s">
        <v>35</v>
      </c>
      <c r="D166" t="s">
        <v>1919</v>
      </c>
      <c r="E166" s="3">
        <v>40</v>
      </c>
      <c r="F166" t="s">
        <v>1813</v>
      </c>
      <c r="G166" t="s">
        <v>1816</v>
      </c>
      <c r="H166" t="s">
        <v>23</v>
      </c>
      <c r="I166" s="1" t="s">
        <v>1210</v>
      </c>
      <c r="J166" s="7">
        <v>1</v>
      </c>
      <c r="K166" s="7">
        <v>2023</v>
      </c>
      <c r="L166" s="3">
        <v>113679.06</v>
      </c>
      <c r="M166" s="9" t="s">
        <v>1960</v>
      </c>
      <c r="N166" s="2" t="s">
        <v>1854</v>
      </c>
      <c r="O166" s="3">
        <v>6762916031</v>
      </c>
      <c r="P166" t="s">
        <v>27</v>
      </c>
      <c r="Q166">
        <v>1</v>
      </c>
      <c r="R166" t="s">
        <v>1962</v>
      </c>
    </row>
    <row r="167" spans="1:18" x14ac:dyDescent="0.35">
      <c r="A167" t="s">
        <v>196</v>
      </c>
      <c r="B167" t="s">
        <v>9</v>
      </c>
      <c r="C167" t="s">
        <v>62</v>
      </c>
      <c r="D167" t="s">
        <v>1917</v>
      </c>
      <c r="E167" s="3">
        <v>35</v>
      </c>
      <c r="F167" t="s">
        <v>1821</v>
      </c>
      <c r="G167" t="s">
        <v>1822</v>
      </c>
      <c r="H167" t="s">
        <v>11</v>
      </c>
      <c r="I167" s="1" t="s">
        <v>1130</v>
      </c>
      <c r="J167" s="7">
        <v>5</v>
      </c>
      <c r="K167" s="7">
        <v>2020</v>
      </c>
      <c r="L167" s="3">
        <v>69251.12</v>
      </c>
      <c r="M167" s="9" t="s">
        <v>1959</v>
      </c>
      <c r="N167" s="2" t="s">
        <v>1852</v>
      </c>
      <c r="O167" s="3">
        <v>4841376814</v>
      </c>
      <c r="P167" t="s">
        <v>27</v>
      </c>
      <c r="Q167">
        <v>1</v>
      </c>
      <c r="R167" t="s">
        <v>1962</v>
      </c>
    </row>
    <row r="168" spans="1:18" x14ac:dyDescent="0.35">
      <c r="A168" t="s">
        <v>197</v>
      </c>
      <c r="B168" t="s">
        <v>25</v>
      </c>
      <c r="C168" t="s">
        <v>29</v>
      </c>
      <c r="D168" t="s">
        <v>1932</v>
      </c>
      <c r="E168" s="3">
        <v>40</v>
      </c>
      <c r="F168" t="s">
        <v>1821</v>
      </c>
      <c r="G168" t="s">
        <v>1824</v>
      </c>
      <c r="H168" t="s">
        <v>23</v>
      </c>
      <c r="I168" s="1" t="s">
        <v>1211</v>
      </c>
      <c r="J168" s="7">
        <v>3</v>
      </c>
      <c r="K168" s="7">
        <v>2022</v>
      </c>
      <c r="L168" s="3">
        <v>85388.58</v>
      </c>
      <c r="M168" s="9" t="s">
        <v>1960</v>
      </c>
      <c r="N168" s="2" t="s">
        <v>1867</v>
      </c>
      <c r="O168" s="3">
        <v>1185672437</v>
      </c>
      <c r="P168" t="s">
        <v>27</v>
      </c>
      <c r="Q168">
        <v>1</v>
      </c>
      <c r="R168" t="s">
        <v>1962</v>
      </c>
    </row>
    <row r="169" spans="1:18" x14ac:dyDescent="0.35">
      <c r="A169" t="s">
        <v>198</v>
      </c>
      <c r="B169" t="s">
        <v>9</v>
      </c>
      <c r="C169" t="s">
        <v>10</v>
      </c>
      <c r="D169" t="s">
        <v>1892</v>
      </c>
      <c r="E169" s="3">
        <v>30</v>
      </c>
      <c r="F169" t="s">
        <v>1813</v>
      </c>
      <c r="G169" t="s">
        <v>1822</v>
      </c>
      <c r="H169" t="s">
        <v>23</v>
      </c>
      <c r="I169" s="1" t="s">
        <v>1212</v>
      </c>
      <c r="J169" s="7">
        <v>3</v>
      </c>
      <c r="K169" s="7">
        <v>2022</v>
      </c>
      <c r="L169" s="3">
        <v>112166.37</v>
      </c>
      <c r="M169" s="9" t="s">
        <v>1960</v>
      </c>
      <c r="N169" s="2" t="s">
        <v>1827</v>
      </c>
      <c r="O169" s="3">
        <v>701765635</v>
      </c>
      <c r="P169" t="s">
        <v>15</v>
      </c>
      <c r="Q169">
        <v>4</v>
      </c>
      <c r="R169" t="s">
        <v>1963</v>
      </c>
    </row>
    <row r="170" spans="1:18" x14ac:dyDescent="0.35">
      <c r="A170" t="s">
        <v>199</v>
      </c>
      <c r="B170" t="s">
        <v>40</v>
      </c>
      <c r="C170" t="s">
        <v>10</v>
      </c>
      <c r="D170" t="s">
        <v>1952</v>
      </c>
      <c r="E170" s="3">
        <v>40</v>
      </c>
      <c r="F170" t="s">
        <v>1815</v>
      </c>
      <c r="G170" t="s">
        <v>1818</v>
      </c>
      <c r="H170" t="s">
        <v>11</v>
      </c>
      <c r="I170" s="1" t="s">
        <v>1213</v>
      </c>
      <c r="J170" s="7">
        <v>4</v>
      </c>
      <c r="K170" s="7">
        <v>2021</v>
      </c>
      <c r="L170" s="3">
        <v>79873.48</v>
      </c>
      <c r="M170" s="9" t="s">
        <v>1959</v>
      </c>
      <c r="N170" s="2" t="s">
        <v>1887</v>
      </c>
      <c r="O170" s="3">
        <v>41257770</v>
      </c>
      <c r="P170" t="s">
        <v>12</v>
      </c>
      <c r="Q170">
        <v>2</v>
      </c>
      <c r="R170" t="s">
        <v>1963</v>
      </c>
    </row>
    <row r="171" spans="1:18" x14ac:dyDescent="0.35">
      <c r="A171" t="s">
        <v>200</v>
      </c>
      <c r="B171" t="s">
        <v>25</v>
      </c>
      <c r="C171" t="s">
        <v>50</v>
      </c>
      <c r="D171" t="s">
        <v>1914</v>
      </c>
      <c r="E171" s="3">
        <v>30</v>
      </c>
      <c r="F171" t="s">
        <v>1813</v>
      </c>
      <c r="G171" t="s">
        <v>1820</v>
      </c>
      <c r="H171" t="s">
        <v>11</v>
      </c>
      <c r="I171" s="1" t="s">
        <v>1214</v>
      </c>
      <c r="J171" s="7">
        <v>5</v>
      </c>
      <c r="K171" s="7">
        <v>2020</v>
      </c>
      <c r="L171" s="3">
        <v>108224.03</v>
      </c>
      <c r="M171" s="9" t="s">
        <v>1960</v>
      </c>
      <c r="N171" s="2" t="s">
        <v>1849</v>
      </c>
      <c r="O171" s="3">
        <v>1837274219</v>
      </c>
      <c r="P171" t="s">
        <v>27</v>
      </c>
      <c r="Q171">
        <v>1</v>
      </c>
      <c r="R171" t="s">
        <v>1962</v>
      </c>
    </row>
    <row r="172" spans="1:18" x14ac:dyDescent="0.35">
      <c r="A172" t="s">
        <v>201</v>
      </c>
      <c r="B172" t="s">
        <v>9</v>
      </c>
      <c r="C172" t="s">
        <v>29</v>
      </c>
      <c r="D172" t="s">
        <v>1926</v>
      </c>
      <c r="E172" s="3">
        <v>35</v>
      </c>
      <c r="F172" t="s">
        <v>1817</v>
      </c>
      <c r="G172" t="s">
        <v>1824</v>
      </c>
      <c r="H172" t="s">
        <v>11</v>
      </c>
      <c r="I172" s="1" t="s">
        <v>1215</v>
      </c>
      <c r="J172" s="7">
        <v>2</v>
      </c>
      <c r="K172" s="7">
        <v>2023</v>
      </c>
      <c r="L172" s="3">
        <v>116963.72</v>
      </c>
      <c r="M172" s="9" t="s">
        <v>1960</v>
      </c>
      <c r="N172" s="2" t="s">
        <v>1861</v>
      </c>
      <c r="O172" s="3">
        <v>9124186209</v>
      </c>
      <c r="P172" t="s">
        <v>12</v>
      </c>
      <c r="Q172">
        <v>2</v>
      </c>
      <c r="R172" t="s">
        <v>1962</v>
      </c>
    </row>
    <row r="173" spans="1:18" x14ac:dyDescent="0.35">
      <c r="A173" t="s">
        <v>202</v>
      </c>
      <c r="B173" t="s">
        <v>9</v>
      </c>
      <c r="C173" t="s">
        <v>18</v>
      </c>
      <c r="D173" t="s">
        <v>1899</v>
      </c>
      <c r="E173" s="3">
        <v>40</v>
      </c>
      <c r="F173" t="s">
        <v>1823</v>
      </c>
      <c r="G173" t="s">
        <v>1818</v>
      </c>
      <c r="H173" t="s">
        <v>23</v>
      </c>
      <c r="I173" s="1" t="s">
        <v>1216</v>
      </c>
      <c r="J173" s="7">
        <v>0</v>
      </c>
      <c r="K173" s="7">
        <v>2024</v>
      </c>
      <c r="L173" s="3">
        <v>114109.06</v>
      </c>
      <c r="M173" s="9" t="s">
        <v>1960</v>
      </c>
      <c r="N173" s="2" t="s">
        <v>1834</v>
      </c>
      <c r="O173" s="3">
        <v>4275230836</v>
      </c>
      <c r="P173" t="s">
        <v>12</v>
      </c>
      <c r="Q173">
        <v>2</v>
      </c>
      <c r="R173" t="s">
        <v>1962</v>
      </c>
    </row>
    <row r="174" spans="1:18" x14ac:dyDescent="0.35">
      <c r="A174" t="s">
        <v>203</v>
      </c>
      <c r="B174" t="s">
        <v>22</v>
      </c>
      <c r="C174" t="s">
        <v>26</v>
      </c>
      <c r="D174" t="s">
        <v>1923</v>
      </c>
      <c r="E174" s="3">
        <v>30</v>
      </c>
      <c r="F174" t="s">
        <v>1823</v>
      </c>
      <c r="G174" t="s">
        <v>1814</v>
      </c>
      <c r="H174" t="s">
        <v>11</v>
      </c>
      <c r="I174" s="1" t="s">
        <v>1217</v>
      </c>
      <c r="J174" s="7">
        <v>2</v>
      </c>
      <c r="K174" s="7">
        <v>2023</v>
      </c>
      <c r="L174" s="3">
        <v>85518.88</v>
      </c>
      <c r="M174" s="9" t="s">
        <v>1960</v>
      </c>
      <c r="N174" s="2" t="s">
        <v>1858</v>
      </c>
      <c r="O174" s="3">
        <v>816470899</v>
      </c>
      <c r="P174" t="s">
        <v>15</v>
      </c>
      <c r="Q174">
        <v>4</v>
      </c>
      <c r="R174" t="s">
        <v>1963</v>
      </c>
    </row>
    <row r="175" spans="1:18" x14ac:dyDescent="0.35">
      <c r="A175" t="s">
        <v>204</v>
      </c>
      <c r="B175" t="s">
        <v>40</v>
      </c>
      <c r="C175" t="s">
        <v>14</v>
      </c>
      <c r="D175" t="s">
        <v>1953</v>
      </c>
      <c r="E175" s="3">
        <v>30</v>
      </c>
      <c r="F175" t="s">
        <v>1819</v>
      </c>
      <c r="G175" t="s">
        <v>1814</v>
      </c>
      <c r="H175" t="s">
        <v>19</v>
      </c>
      <c r="I175" s="1" t="s">
        <v>1218</v>
      </c>
      <c r="J175" s="7">
        <v>3</v>
      </c>
      <c r="K175" s="7">
        <v>2022</v>
      </c>
      <c r="L175" s="3">
        <v>58041.97</v>
      </c>
      <c r="M175" s="9" t="s">
        <v>1958</v>
      </c>
      <c r="N175" s="2" t="s">
        <v>1888</v>
      </c>
      <c r="O175" s="3">
        <v>6335331059</v>
      </c>
      <c r="P175" t="s">
        <v>27</v>
      </c>
      <c r="Q175">
        <v>1</v>
      </c>
      <c r="R175" t="s">
        <v>1962</v>
      </c>
    </row>
    <row r="176" spans="1:18" x14ac:dyDescent="0.35">
      <c r="A176" t="s">
        <v>205</v>
      </c>
      <c r="B176" t="s">
        <v>37</v>
      </c>
      <c r="C176" t="s">
        <v>29</v>
      </c>
      <c r="D176" t="s">
        <v>1912</v>
      </c>
      <c r="E176" s="3">
        <v>40</v>
      </c>
      <c r="F176" t="s">
        <v>1821</v>
      </c>
      <c r="G176" t="s">
        <v>1824</v>
      </c>
      <c r="H176" t="s">
        <v>19</v>
      </c>
      <c r="I176" s="1" t="s">
        <v>1219</v>
      </c>
      <c r="J176" s="7">
        <v>2</v>
      </c>
      <c r="K176" s="7">
        <v>2023</v>
      </c>
      <c r="L176" s="3">
        <v>94988.94</v>
      </c>
      <c r="M176" s="9" t="s">
        <v>1960</v>
      </c>
      <c r="N176" s="2" t="s">
        <v>1847</v>
      </c>
      <c r="O176" s="3">
        <v>531312205</v>
      </c>
      <c r="P176" t="s">
        <v>20</v>
      </c>
      <c r="Q176">
        <v>3</v>
      </c>
      <c r="R176" t="s">
        <v>1963</v>
      </c>
    </row>
    <row r="177" spans="1:18" x14ac:dyDescent="0.35">
      <c r="A177" t="s">
        <v>206</v>
      </c>
      <c r="B177" t="s">
        <v>22</v>
      </c>
      <c r="C177" t="s">
        <v>50</v>
      </c>
      <c r="D177" t="s">
        <v>1943</v>
      </c>
      <c r="E177" s="3">
        <v>25</v>
      </c>
      <c r="F177" t="s">
        <v>1817</v>
      </c>
      <c r="G177" t="s">
        <v>1814</v>
      </c>
      <c r="H177" t="s">
        <v>19</v>
      </c>
      <c r="I177" s="1" t="s">
        <v>1220</v>
      </c>
      <c r="J177" s="7">
        <v>1</v>
      </c>
      <c r="K177" s="7">
        <v>2024</v>
      </c>
      <c r="L177" s="3">
        <v>71628.929999999993</v>
      </c>
      <c r="M177" s="9" t="s">
        <v>1959</v>
      </c>
      <c r="N177" s="2" t="s">
        <v>1878</v>
      </c>
      <c r="O177" s="3">
        <v>8155839385</v>
      </c>
      <c r="P177" t="s">
        <v>15</v>
      </c>
      <c r="Q177">
        <v>4</v>
      </c>
      <c r="R177" t="s">
        <v>1963</v>
      </c>
    </row>
    <row r="178" spans="1:18" x14ac:dyDescent="0.35">
      <c r="A178" t="s">
        <v>207</v>
      </c>
      <c r="B178" t="s">
        <v>17</v>
      </c>
      <c r="C178" t="s">
        <v>26</v>
      </c>
      <c r="D178" t="s">
        <v>1950</v>
      </c>
      <c r="E178" s="3">
        <v>30</v>
      </c>
      <c r="F178" t="s">
        <v>1817</v>
      </c>
      <c r="G178" t="s">
        <v>1824</v>
      </c>
      <c r="H178" t="s">
        <v>19</v>
      </c>
      <c r="I178" s="1" t="s">
        <v>1150</v>
      </c>
      <c r="J178" s="7">
        <v>3</v>
      </c>
      <c r="K178" s="7">
        <v>2022</v>
      </c>
      <c r="L178" s="3">
        <v>54870.98</v>
      </c>
      <c r="M178" s="9" t="s">
        <v>1958</v>
      </c>
      <c r="N178" s="2" t="s">
        <v>1885</v>
      </c>
      <c r="O178" s="3">
        <v>6133155205</v>
      </c>
      <c r="P178" t="s">
        <v>20</v>
      </c>
      <c r="Q178">
        <v>3</v>
      </c>
      <c r="R178" t="s">
        <v>1963</v>
      </c>
    </row>
    <row r="179" spans="1:18" x14ac:dyDescent="0.35">
      <c r="A179" t="s">
        <v>208</v>
      </c>
      <c r="B179" t="s">
        <v>17</v>
      </c>
      <c r="C179" t="s">
        <v>26</v>
      </c>
      <c r="D179" t="s">
        <v>1950</v>
      </c>
      <c r="E179" s="3">
        <v>25</v>
      </c>
      <c r="F179" t="s">
        <v>1813</v>
      </c>
      <c r="G179" t="s">
        <v>1824</v>
      </c>
      <c r="H179" t="s">
        <v>11</v>
      </c>
      <c r="I179" s="1" t="s">
        <v>1221</v>
      </c>
      <c r="J179" s="7">
        <v>3</v>
      </c>
      <c r="K179" s="7">
        <v>2022</v>
      </c>
      <c r="L179" s="3">
        <v>79388.27</v>
      </c>
      <c r="M179" s="9" t="s">
        <v>1959</v>
      </c>
      <c r="N179" s="2" t="s">
        <v>1885</v>
      </c>
      <c r="O179" s="3">
        <v>5063731494</v>
      </c>
      <c r="P179" t="s">
        <v>12</v>
      </c>
      <c r="Q179">
        <v>2</v>
      </c>
      <c r="R179" t="s">
        <v>1962</v>
      </c>
    </row>
    <row r="180" spans="1:18" x14ac:dyDescent="0.35">
      <c r="A180" t="s">
        <v>209</v>
      </c>
      <c r="B180" t="s">
        <v>25</v>
      </c>
      <c r="C180" t="s">
        <v>62</v>
      </c>
      <c r="D180" t="s">
        <v>1922</v>
      </c>
      <c r="E180" s="3">
        <v>35</v>
      </c>
      <c r="F180" t="s">
        <v>1813</v>
      </c>
      <c r="G180" t="s">
        <v>1814</v>
      </c>
      <c r="H180" t="s">
        <v>19</v>
      </c>
      <c r="I180" s="1" t="s">
        <v>1222</v>
      </c>
      <c r="J180" s="7">
        <v>2</v>
      </c>
      <c r="K180" s="7">
        <v>2023</v>
      </c>
      <c r="L180" s="3">
        <v>55946.99</v>
      </c>
      <c r="M180" s="9" t="s">
        <v>1958</v>
      </c>
      <c r="N180" s="2" t="s">
        <v>1857</v>
      </c>
      <c r="O180" s="3">
        <v>136497188</v>
      </c>
      <c r="P180" t="s">
        <v>12</v>
      </c>
      <c r="Q180">
        <v>2</v>
      </c>
      <c r="R180" t="s">
        <v>1963</v>
      </c>
    </row>
    <row r="181" spans="1:18" x14ac:dyDescent="0.35">
      <c r="A181" t="s">
        <v>210</v>
      </c>
      <c r="B181" t="s">
        <v>34</v>
      </c>
      <c r="C181" t="s">
        <v>26</v>
      </c>
      <c r="D181" t="s">
        <v>1910</v>
      </c>
      <c r="E181" s="3">
        <v>30</v>
      </c>
      <c r="F181" t="s">
        <v>1819</v>
      </c>
      <c r="G181" t="s">
        <v>1818</v>
      </c>
      <c r="H181" t="s">
        <v>11</v>
      </c>
      <c r="I181" s="1" t="s">
        <v>1223</v>
      </c>
      <c r="J181" s="7">
        <v>4</v>
      </c>
      <c r="K181" s="7">
        <v>2021</v>
      </c>
      <c r="L181" s="3">
        <v>81017.91</v>
      </c>
      <c r="M181" s="9" t="s">
        <v>1959</v>
      </c>
      <c r="N181" s="2" t="s">
        <v>1845</v>
      </c>
      <c r="O181" s="3">
        <v>2419562524</v>
      </c>
      <c r="P181" t="s">
        <v>15</v>
      </c>
      <c r="Q181">
        <v>4</v>
      </c>
      <c r="R181" t="s">
        <v>1962</v>
      </c>
    </row>
    <row r="182" spans="1:18" x14ac:dyDescent="0.35">
      <c r="A182" t="s">
        <v>211</v>
      </c>
      <c r="B182" t="s">
        <v>40</v>
      </c>
      <c r="C182" t="s">
        <v>18</v>
      </c>
      <c r="D182" t="s">
        <v>1947</v>
      </c>
      <c r="E182" s="3">
        <v>40</v>
      </c>
      <c r="F182" t="s">
        <v>1823</v>
      </c>
      <c r="G182" t="s">
        <v>1822</v>
      </c>
      <c r="H182" t="s">
        <v>19</v>
      </c>
      <c r="I182" s="1" t="s">
        <v>1224</v>
      </c>
      <c r="J182" s="7">
        <v>5</v>
      </c>
      <c r="K182" s="7">
        <v>2020</v>
      </c>
      <c r="L182" s="3">
        <v>74162.100000000006</v>
      </c>
      <c r="M182" s="9" t="s">
        <v>1959</v>
      </c>
      <c r="N182" s="2" t="s">
        <v>1882</v>
      </c>
      <c r="O182" s="3">
        <v>7150997682</v>
      </c>
      <c r="P182" t="s">
        <v>15</v>
      </c>
      <c r="Q182">
        <v>4</v>
      </c>
      <c r="R182" t="s">
        <v>1963</v>
      </c>
    </row>
    <row r="183" spans="1:18" x14ac:dyDescent="0.35">
      <c r="A183" t="s">
        <v>212</v>
      </c>
      <c r="B183" t="s">
        <v>40</v>
      </c>
      <c r="C183" t="s">
        <v>10</v>
      </c>
      <c r="D183" t="s">
        <v>1952</v>
      </c>
      <c r="E183" s="3">
        <v>30</v>
      </c>
      <c r="F183" t="s">
        <v>1813</v>
      </c>
      <c r="G183" t="s">
        <v>1814</v>
      </c>
      <c r="H183" t="s">
        <v>11</v>
      </c>
      <c r="I183" s="1" t="s">
        <v>1225</v>
      </c>
      <c r="J183" s="7">
        <v>4</v>
      </c>
      <c r="K183" s="7">
        <v>2021</v>
      </c>
      <c r="L183" s="3">
        <v>77668.44</v>
      </c>
      <c r="M183" s="9" t="s">
        <v>1959</v>
      </c>
      <c r="N183" s="2" t="s">
        <v>1887</v>
      </c>
      <c r="O183" s="3">
        <v>8903091435</v>
      </c>
      <c r="P183" t="s">
        <v>20</v>
      </c>
      <c r="Q183">
        <v>3</v>
      </c>
      <c r="R183" t="s">
        <v>1962</v>
      </c>
    </row>
    <row r="184" spans="1:18" x14ac:dyDescent="0.35">
      <c r="A184" t="s">
        <v>213</v>
      </c>
      <c r="B184" t="s">
        <v>17</v>
      </c>
      <c r="C184" t="s">
        <v>50</v>
      </c>
      <c r="D184" t="s">
        <v>1929</v>
      </c>
      <c r="E184" s="3">
        <v>30</v>
      </c>
      <c r="F184" t="s">
        <v>1823</v>
      </c>
      <c r="G184" t="s">
        <v>1822</v>
      </c>
      <c r="H184" t="s">
        <v>11</v>
      </c>
      <c r="I184" s="1" t="s">
        <v>1226</v>
      </c>
      <c r="J184" s="7">
        <v>1</v>
      </c>
      <c r="K184" s="7">
        <v>2024</v>
      </c>
      <c r="L184" s="3">
        <v>67886.37</v>
      </c>
      <c r="M184" s="9" t="s">
        <v>1959</v>
      </c>
      <c r="N184" s="2" t="s">
        <v>1864</v>
      </c>
      <c r="O184" s="3">
        <v>3910257431</v>
      </c>
      <c r="P184" t="s">
        <v>27</v>
      </c>
      <c r="Q184">
        <v>1</v>
      </c>
      <c r="R184" t="s">
        <v>1963</v>
      </c>
    </row>
    <row r="185" spans="1:18" x14ac:dyDescent="0.35">
      <c r="A185" t="s">
        <v>214</v>
      </c>
      <c r="B185" t="s">
        <v>17</v>
      </c>
      <c r="C185" t="s">
        <v>26</v>
      </c>
      <c r="D185" t="s">
        <v>1950</v>
      </c>
      <c r="E185" s="3">
        <v>40</v>
      </c>
      <c r="F185" t="s">
        <v>1813</v>
      </c>
      <c r="G185" t="s">
        <v>1820</v>
      </c>
      <c r="H185" t="s">
        <v>11</v>
      </c>
      <c r="I185" s="1" t="s">
        <v>1227</v>
      </c>
      <c r="J185" s="7">
        <v>5</v>
      </c>
      <c r="K185" s="7">
        <v>2020</v>
      </c>
      <c r="L185" s="3">
        <v>76614.52</v>
      </c>
      <c r="M185" s="9" t="s">
        <v>1959</v>
      </c>
      <c r="N185" s="2" t="s">
        <v>1885</v>
      </c>
      <c r="O185" s="3">
        <v>6303975244</v>
      </c>
      <c r="P185" t="s">
        <v>20</v>
      </c>
      <c r="Q185">
        <v>3</v>
      </c>
      <c r="R185" t="s">
        <v>1962</v>
      </c>
    </row>
    <row r="186" spans="1:18" x14ac:dyDescent="0.35">
      <c r="A186" t="s">
        <v>215</v>
      </c>
      <c r="B186" t="s">
        <v>25</v>
      </c>
      <c r="C186" t="s">
        <v>62</v>
      </c>
      <c r="D186" t="s">
        <v>1922</v>
      </c>
      <c r="E186" s="3">
        <v>25</v>
      </c>
      <c r="F186" t="s">
        <v>1815</v>
      </c>
      <c r="G186" t="s">
        <v>1818</v>
      </c>
      <c r="H186" t="s">
        <v>11</v>
      </c>
      <c r="I186" s="1" t="s">
        <v>1228</v>
      </c>
      <c r="J186" s="7">
        <v>2</v>
      </c>
      <c r="K186" s="7">
        <v>2022</v>
      </c>
      <c r="L186" s="3">
        <v>51311.91</v>
      </c>
      <c r="M186" s="9" t="s">
        <v>1958</v>
      </c>
      <c r="N186" s="2" t="s">
        <v>1857</v>
      </c>
      <c r="O186" s="3">
        <v>864035532</v>
      </c>
      <c r="P186" t="s">
        <v>15</v>
      </c>
      <c r="Q186">
        <v>4</v>
      </c>
      <c r="R186" t="s">
        <v>1963</v>
      </c>
    </row>
    <row r="187" spans="1:18" x14ac:dyDescent="0.35">
      <c r="A187" t="s">
        <v>216</v>
      </c>
      <c r="B187" t="s">
        <v>25</v>
      </c>
      <c r="C187" t="s">
        <v>18</v>
      </c>
      <c r="D187" t="s">
        <v>1898</v>
      </c>
      <c r="E187" s="3">
        <v>30</v>
      </c>
      <c r="F187" t="s">
        <v>1815</v>
      </c>
      <c r="G187" t="s">
        <v>1824</v>
      </c>
      <c r="H187" t="s">
        <v>23</v>
      </c>
      <c r="I187" s="1" t="s">
        <v>1169</v>
      </c>
      <c r="J187" s="7">
        <v>1</v>
      </c>
      <c r="K187" s="7">
        <v>2023</v>
      </c>
      <c r="L187" s="3">
        <v>94809.919999999998</v>
      </c>
      <c r="M187" s="9" t="s">
        <v>1960</v>
      </c>
      <c r="N187" s="2" t="s">
        <v>1833</v>
      </c>
      <c r="O187" s="3">
        <v>8033968526</v>
      </c>
      <c r="P187" t="s">
        <v>20</v>
      </c>
      <c r="Q187">
        <v>3</v>
      </c>
      <c r="R187" t="s">
        <v>1962</v>
      </c>
    </row>
    <row r="188" spans="1:18" x14ac:dyDescent="0.35">
      <c r="A188" t="s">
        <v>217</v>
      </c>
      <c r="B188" t="s">
        <v>42</v>
      </c>
      <c r="C188" t="s">
        <v>35</v>
      </c>
      <c r="D188" t="s">
        <v>1919</v>
      </c>
      <c r="E188" s="3">
        <v>25</v>
      </c>
      <c r="F188" t="s">
        <v>1823</v>
      </c>
      <c r="G188" t="s">
        <v>1822</v>
      </c>
      <c r="H188" t="s">
        <v>19</v>
      </c>
      <c r="I188" s="1" t="s">
        <v>1229</v>
      </c>
      <c r="J188" s="7">
        <v>3</v>
      </c>
      <c r="K188" s="7">
        <v>2022</v>
      </c>
      <c r="L188" s="3">
        <v>108241.81</v>
      </c>
      <c r="M188" s="9" t="s">
        <v>1960</v>
      </c>
      <c r="N188" s="2" t="s">
        <v>1854</v>
      </c>
      <c r="O188" s="3">
        <v>171302320</v>
      </c>
      <c r="P188" t="s">
        <v>15</v>
      </c>
      <c r="Q188">
        <v>4</v>
      </c>
      <c r="R188" t="s">
        <v>1962</v>
      </c>
    </row>
    <row r="189" spans="1:18" x14ac:dyDescent="0.35">
      <c r="A189" t="s">
        <v>218</v>
      </c>
      <c r="B189" t="s">
        <v>9</v>
      </c>
      <c r="C189" t="s">
        <v>10</v>
      </c>
      <c r="D189" t="s">
        <v>1892</v>
      </c>
      <c r="E189" s="3">
        <v>40</v>
      </c>
      <c r="F189" t="s">
        <v>1819</v>
      </c>
      <c r="G189" t="s">
        <v>1822</v>
      </c>
      <c r="H189" t="s">
        <v>23</v>
      </c>
      <c r="I189" s="1" t="s">
        <v>1230</v>
      </c>
      <c r="J189" s="7">
        <v>2</v>
      </c>
      <c r="K189" s="7">
        <v>2023</v>
      </c>
      <c r="L189" s="3">
        <v>78031.490000000005</v>
      </c>
      <c r="M189" s="9" t="s">
        <v>1959</v>
      </c>
      <c r="N189" s="2" t="s">
        <v>1827</v>
      </c>
      <c r="O189" s="3">
        <v>2983381673</v>
      </c>
      <c r="P189" t="s">
        <v>20</v>
      </c>
      <c r="Q189">
        <v>3</v>
      </c>
      <c r="R189" t="s">
        <v>1962</v>
      </c>
    </row>
    <row r="190" spans="1:18" x14ac:dyDescent="0.35">
      <c r="A190" t="s">
        <v>219</v>
      </c>
      <c r="B190" t="s">
        <v>22</v>
      </c>
      <c r="C190" t="s">
        <v>10</v>
      </c>
      <c r="D190" t="s">
        <v>1895</v>
      </c>
      <c r="E190" s="3">
        <v>35</v>
      </c>
      <c r="F190" t="s">
        <v>1817</v>
      </c>
      <c r="G190" t="s">
        <v>1814</v>
      </c>
      <c r="H190" t="s">
        <v>11</v>
      </c>
      <c r="I190" s="1" t="s">
        <v>1231</v>
      </c>
      <c r="J190" s="7">
        <v>5</v>
      </c>
      <c r="K190" s="7">
        <v>2020</v>
      </c>
      <c r="L190" s="3">
        <v>85733.83</v>
      </c>
      <c r="M190" s="9" t="s">
        <v>1960</v>
      </c>
      <c r="N190" s="2" t="s">
        <v>1830</v>
      </c>
      <c r="O190" s="3">
        <v>2336293448</v>
      </c>
      <c r="P190" t="s">
        <v>15</v>
      </c>
      <c r="Q190">
        <v>4</v>
      </c>
      <c r="R190" t="s">
        <v>1962</v>
      </c>
    </row>
    <row r="191" spans="1:18" x14ac:dyDescent="0.35">
      <c r="A191" t="s">
        <v>220</v>
      </c>
      <c r="B191" t="s">
        <v>37</v>
      </c>
      <c r="C191" t="s">
        <v>50</v>
      </c>
      <c r="D191" t="s">
        <v>1913</v>
      </c>
      <c r="E191" s="3">
        <v>35</v>
      </c>
      <c r="F191" t="s">
        <v>1823</v>
      </c>
      <c r="G191" t="s">
        <v>1818</v>
      </c>
      <c r="H191" t="s">
        <v>19</v>
      </c>
      <c r="I191" s="1" t="s">
        <v>1232</v>
      </c>
      <c r="J191" s="7">
        <v>1</v>
      </c>
      <c r="K191" s="7">
        <v>2024</v>
      </c>
      <c r="L191" s="3">
        <v>60338.29</v>
      </c>
      <c r="M191" s="9" t="s">
        <v>1959</v>
      </c>
      <c r="N191" s="2" t="s">
        <v>1848</v>
      </c>
      <c r="O191" s="3">
        <v>7347156626</v>
      </c>
      <c r="P191" t="s">
        <v>15</v>
      </c>
      <c r="Q191">
        <v>4</v>
      </c>
      <c r="R191" t="s">
        <v>1963</v>
      </c>
    </row>
    <row r="192" spans="1:18" x14ac:dyDescent="0.35">
      <c r="A192" t="s">
        <v>221</v>
      </c>
      <c r="B192" t="s">
        <v>22</v>
      </c>
      <c r="C192" t="s">
        <v>10</v>
      </c>
      <c r="D192" t="s">
        <v>1895</v>
      </c>
      <c r="E192" s="3">
        <v>30</v>
      </c>
      <c r="F192" t="s">
        <v>1817</v>
      </c>
      <c r="G192" t="s">
        <v>1824</v>
      </c>
      <c r="H192" t="s">
        <v>11</v>
      </c>
      <c r="I192" s="1" t="s">
        <v>1233</v>
      </c>
      <c r="J192" s="7">
        <v>1</v>
      </c>
      <c r="K192" s="7">
        <v>2024</v>
      </c>
      <c r="L192" s="3">
        <v>103140.67</v>
      </c>
      <c r="M192" s="9" t="s">
        <v>1960</v>
      </c>
      <c r="N192" s="2" t="s">
        <v>1830</v>
      </c>
      <c r="O192" s="3">
        <v>7689627065</v>
      </c>
      <c r="P192" t="s">
        <v>15</v>
      </c>
      <c r="Q192">
        <v>4</v>
      </c>
      <c r="R192" t="s">
        <v>1963</v>
      </c>
    </row>
    <row r="193" spans="1:18" x14ac:dyDescent="0.35">
      <c r="A193" t="s">
        <v>222</v>
      </c>
      <c r="B193" t="s">
        <v>40</v>
      </c>
      <c r="C193" t="s">
        <v>26</v>
      </c>
      <c r="D193" t="s">
        <v>1904</v>
      </c>
      <c r="E193" s="3">
        <v>40</v>
      </c>
      <c r="F193" t="s">
        <v>1821</v>
      </c>
      <c r="G193" t="s">
        <v>1824</v>
      </c>
      <c r="H193" t="s">
        <v>23</v>
      </c>
      <c r="I193" s="1" t="s">
        <v>1234</v>
      </c>
      <c r="J193" s="7">
        <v>2</v>
      </c>
      <c r="K193" s="7">
        <v>2023</v>
      </c>
      <c r="L193" s="3">
        <v>114690.8</v>
      </c>
      <c r="M193" s="9" t="s">
        <v>1960</v>
      </c>
      <c r="N193" s="2" t="s">
        <v>1839</v>
      </c>
      <c r="O193" s="3">
        <v>1498282466</v>
      </c>
      <c r="P193" t="s">
        <v>27</v>
      </c>
      <c r="Q193">
        <v>1</v>
      </c>
      <c r="R193" t="s">
        <v>1962</v>
      </c>
    </row>
    <row r="194" spans="1:18" x14ac:dyDescent="0.35">
      <c r="A194" t="s">
        <v>223</v>
      </c>
      <c r="B194" t="s">
        <v>25</v>
      </c>
      <c r="C194" t="s">
        <v>62</v>
      </c>
      <c r="D194" t="s">
        <v>1922</v>
      </c>
      <c r="E194" s="3">
        <v>35</v>
      </c>
      <c r="F194" t="s">
        <v>1817</v>
      </c>
      <c r="G194" t="s">
        <v>1820</v>
      </c>
      <c r="H194" t="s">
        <v>11</v>
      </c>
      <c r="I194" s="1" t="s">
        <v>1235</v>
      </c>
      <c r="J194" s="7">
        <v>3</v>
      </c>
      <c r="K194" s="7">
        <v>2022</v>
      </c>
      <c r="L194" s="3">
        <v>80954.559999999998</v>
      </c>
      <c r="M194" s="9" t="s">
        <v>1959</v>
      </c>
      <c r="N194" s="2" t="s">
        <v>1857</v>
      </c>
      <c r="O194" s="3">
        <v>4746897151</v>
      </c>
      <c r="P194" t="s">
        <v>20</v>
      </c>
      <c r="Q194">
        <v>3</v>
      </c>
      <c r="R194" t="s">
        <v>1963</v>
      </c>
    </row>
    <row r="195" spans="1:18" x14ac:dyDescent="0.35">
      <c r="A195" t="s">
        <v>224</v>
      </c>
      <c r="B195" t="s">
        <v>22</v>
      </c>
      <c r="C195" t="s">
        <v>10</v>
      </c>
      <c r="D195" t="s">
        <v>1895</v>
      </c>
      <c r="E195" s="3">
        <v>30</v>
      </c>
      <c r="F195" t="s">
        <v>1819</v>
      </c>
      <c r="G195" t="s">
        <v>1814</v>
      </c>
      <c r="H195" t="s">
        <v>19</v>
      </c>
      <c r="I195" s="1" t="s">
        <v>1236</v>
      </c>
      <c r="J195" s="7">
        <v>5</v>
      </c>
      <c r="K195" s="7">
        <v>2020</v>
      </c>
      <c r="L195" s="3">
        <v>71728.55</v>
      </c>
      <c r="M195" s="9" t="s">
        <v>1959</v>
      </c>
      <c r="N195" s="2" t="s">
        <v>1830</v>
      </c>
      <c r="O195" s="3">
        <v>7323008575</v>
      </c>
      <c r="P195" t="s">
        <v>20</v>
      </c>
      <c r="Q195">
        <v>3</v>
      </c>
      <c r="R195" t="s">
        <v>1962</v>
      </c>
    </row>
    <row r="196" spans="1:18" x14ac:dyDescent="0.35">
      <c r="A196" t="s">
        <v>225</v>
      </c>
      <c r="B196" t="s">
        <v>17</v>
      </c>
      <c r="C196" t="s">
        <v>10</v>
      </c>
      <c r="D196" t="s">
        <v>1928</v>
      </c>
      <c r="E196" s="3">
        <v>35</v>
      </c>
      <c r="F196" t="s">
        <v>1823</v>
      </c>
      <c r="G196" t="s">
        <v>1816</v>
      </c>
      <c r="H196" t="s">
        <v>19</v>
      </c>
      <c r="I196" s="1" t="s">
        <v>1237</v>
      </c>
      <c r="J196" s="7">
        <v>1</v>
      </c>
      <c r="K196" s="7">
        <v>2024</v>
      </c>
      <c r="L196" s="3">
        <v>118415.8</v>
      </c>
      <c r="M196" s="9" t="s">
        <v>1960</v>
      </c>
      <c r="N196" s="2" t="s">
        <v>1863</v>
      </c>
      <c r="O196" s="3">
        <v>6656749159</v>
      </c>
      <c r="P196" t="s">
        <v>20</v>
      </c>
      <c r="Q196">
        <v>3</v>
      </c>
      <c r="R196" t="s">
        <v>1962</v>
      </c>
    </row>
    <row r="197" spans="1:18" x14ac:dyDescent="0.35">
      <c r="A197" t="s">
        <v>226</v>
      </c>
      <c r="B197" t="s">
        <v>42</v>
      </c>
      <c r="C197" t="s">
        <v>35</v>
      </c>
      <c r="D197" t="s">
        <v>1919</v>
      </c>
      <c r="E197" s="3">
        <v>40</v>
      </c>
      <c r="F197" t="s">
        <v>1821</v>
      </c>
      <c r="G197" t="s">
        <v>1824</v>
      </c>
      <c r="H197" t="s">
        <v>19</v>
      </c>
      <c r="I197" s="1" t="s">
        <v>1238</v>
      </c>
      <c r="J197" s="7">
        <v>5</v>
      </c>
      <c r="K197" s="7">
        <v>2020</v>
      </c>
      <c r="L197" s="3">
        <v>81481.36</v>
      </c>
      <c r="M197" s="9" t="s">
        <v>1959</v>
      </c>
      <c r="N197" s="2" t="s">
        <v>1854</v>
      </c>
      <c r="O197" s="3">
        <v>1692364586</v>
      </c>
      <c r="P197" t="s">
        <v>15</v>
      </c>
      <c r="Q197">
        <v>4</v>
      </c>
      <c r="R197" t="s">
        <v>1963</v>
      </c>
    </row>
    <row r="198" spans="1:18" x14ac:dyDescent="0.35">
      <c r="A198" t="s">
        <v>227</v>
      </c>
      <c r="B198" t="s">
        <v>37</v>
      </c>
      <c r="C198" t="s">
        <v>35</v>
      </c>
      <c r="D198" t="s">
        <v>1937</v>
      </c>
      <c r="E198" s="3">
        <v>35</v>
      </c>
      <c r="F198" t="s">
        <v>1821</v>
      </c>
      <c r="G198" t="s">
        <v>1820</v>
      </c>
      <c r="H198" t="s">
        <v>19</v>
      </c>
      <c r="I198" s="1" t="s">
        <v>1239</v>
      </c>
      <c r="J198" s="7">
        <v>5</v>
      </c>
      <c r="K198" s="7">
        <v>2020</v>
      </c>
      <c r="L198" s="3">
        <v>117040.57</v>
      </c>
      <c r="M198" s="9" t="s">
        <v>1960</v>
      </c>
      <c r="N198" s="2" t="s">
        <v>1872</v>
      </c>
      <c r="O198" s="3">
        <v>5066337049</v>
      </c>
      <c r="P198" t="s">
        <v>20</v>
      </c>
      <c r="Q198">
        <v>3</v>
      </c>
      <c r="R198" t="s">
        <v>1962</v>
      </c>
    </row>
    <row r="199" spans="1:18" x14ac:dyDescent="0.35">
      <c r="A199" t="s">
        <v>228</v>
      </c>
      <c r="B199" t="s">
        <v>25</v>
      </c>
      <c r="C199" t="s">
        <v>14</v>
      </c>
      <c r="D199" t="s">
        <v>1940</v>
      </c>
      <c r="E199" s="3">
        <v>25</v>
      </c>
      <c r="F199" t="s">
        <v>1821</v>
      </c>
      <c r="G199" t="s">
        <v>1818</v>
      </c>
      <c r="H199" t="s">
        <v>11</v>
      </c>
      <c r="I199" s="1" t="s">
        <v>1240</v>
      </c>
      <c r="J199" s="7">
        <v>5</v>
      </c>
      <c r="K199" s="7">
        <v>2020</v>
      </c>
      <c r="L199" s="3">
        <v>67342.06</v>
      </c>
      <c r="M199" s="9" t="s">
        <v>1959</v>
      </c>
      <c r="N199" s="2" t="s">
        <v>1875</v>
      </c>
      <c r="O199" s="3">
        <v>2497243991</v>
      </c>
      <c r="P199" t="s">
        <v>20</v>
      </c>
      <c r="Q199">
        <v>3</v>
      </c>
      <c r="R199" t="s">
        <v>1962</v>
      </c>
    </row>
    <row r="200" spans="1:18" x14ac:dyDescent="0.35">
      <c r="A200" t="s">
        <v>229</v>
      </c>
      <c r="B200" t="s">
        <v>40</v>
      </c>
      <c r="C200" t="s">
        <v>18</v>
      </c>
      <c r="D200" t="s">
        <v>1947</v>
      </c>
      <c r="E200" s="3">
        <v>30</v>
      </c>
      <c r="F200" t="s">
        <v>1821</v>
      </c>
      <c r="G200" t="s">
        <v>1824</v>
      </c>
      <c r="H200" t="s">
        <v>11</v>
      </c>
      <c r="I200" s="1" t="s">
        <v>1241</v>
      </c>
      <c r="J200" s="7">
        <v>3</v>
      </c>
      <c r="K200" s="7">
        <v>2022</v>
      </c>
      <c r="L200" s="3">
        <v>76099.64</v>
      </c>
      <c r="M200" s="9" t="s">
        <v>1959</v>
      </c>
      <c r="N200" s="2" t="s">
        <v>1882</v>
      </c>
      <c r="O200" s="3">
        <v>116691835</v>
      </c>
      <c r="P200" t="s">
        <v>15</v>
      </c>
      <c r="Q200">
        <v>4</v>
      </c>
      <c r="R200" t="s">
        <v>1963</v>
      </c>
    </row>
    <row r="201" spans="1:18" x14ac:dyDescent="0.35">
      <c r="A201" t="s">
        <v>230</v>
      </c>
      <c r="B201" t="s">
        <v>42</v>
      </c>
      <c r="C201" t="s">
        <v>26</v>
      </c>
      <c r="D201" t="s">
        <v>1905</v>
      </c>
      <c r="E201" s="3">
        <v>35</v>
      </c>
      <c r="F201" t="s">
        <v>1813</v>
      </c>
      <c r="G201" t="s">
        <v>1824</v>
      </c>
      <c r="H201" t="s">
        <v>11</v>
      </c>
      <c r="I201" s="1" t="s">
        <v>1242</v>
      </c>
      <c r="J201" s="7">
        <v>1</v>
      </c>
      <c r="K201" s="7">
        <v>2024</v>
      </c>
      <c r="L201" s="3">
        <v>94162.06</v>
      </c>
      <c r="M201" s="9" t="s">
        <v>1960</v>
      </c>
      <c r="N201" s="2" t="s">
        <v>1840</v>
      </c>
      <c r="O201" s="3">
        <v>2644886945</v>
      </c>
      <c r="P201" t="s">
        <v>12</v>
      </c>
      <c r="Q201">
        <v>2</v>
      </c>
      <c r="R201" t="s">
        <v>1962</v>
      </c>
    </row>
    <row r="202" spans="1:18" x14ac:dyDescent="0.35">
      <c r="A202" t="s">
        <v>231</v>
      </c>
      <c r="B202" t="s">
        <v>25</v>
      </c>
      <c r="C202" t="s">
        <v>10</v>
      </c>
      <c r="D202" t="s">
        <v>1900</v>
      </c>
      <c r="E202" s="3">
        <v>25</v>
      </c>
      <c r="F202" t="s">
        <v>1821</v>
      </c>
      <c r="G202" t="s">
        <v>1818</v>
      </c>
      <c r="H202" t="s">
        <v>23</v>
      </c>
      <c r="I202" s="1" t="s">
        <v>1243</v>
      </c>
      <c r="J202" s="7">
        <v>4</v>
      </c>
      <c r="K202" s="7">
        <v>2021</v>
      </c>
      <c r="L202" s="3">
        <v>67639.7</v>
      </c>
      <c r="M202" s="9" t="s">
        <v>1959</v>
      </c>
      <c r="N202" s="2" t="s">
        <v>1835</v>
      </c>
      <c r="O202" s="3">
        <v>1195243639</v>
      </c>
      <c r="P202" t="s">
        <v>15</v>
      </c>
      <c r="Q202">
        <v>4</v>
      </c>
      <c r="R202" t="s">
        <v>1962</v>
      </c>
    </row>
    <row r="203" spans="1:18" x14ac:dyDescent="0.35">
      <c r="A203" t="s">
        <v>232</v>
      </c>
      <c r="B203" t="s">
        <v>34</v>
      </c>
      <c r="C203" t="s">
        <v>29</v>
      </c>
      <c r="D203" t="s">
        <v>1909</v>
      </c>
      <c r="E203" s="3">
        <v>35</v>
      </c>
      <c r="F203" t="s">
        <v>1819</v>
      </c>
      <c r="G203" t="s">
        <v>1824</v>
      </c>
      <c r="H203" t="s">
        <v>19</v>
      </c>
      <c r="I203" s="1" t="s">
        <v>1244</v>
      </c>
      <c r="J203" s="7">
        <v>5</v>
      </c>
      <c r="K203" s="7">
        <v>2020</v>
      </c>
      <c r="L203" s="3">
        <v>114172.25</v>
      </c>
      <c r="M203" s="9" t="s">
        <v>1960</v>
      </c>
      <c r="N203" s="2" t="s">
        <v>1844</v>
      </c>
      <c r="O203" s="3">
        <v>2701168645</v>
      </c>
      <c r="P203" t="s">
        <v>20</v>
      </c>
      <c r="Q203">
        <v>3</v>
      </c>
      <c r="R203" t="s">
        <v>1962</v>
      </c>
    </row>
    <row r="204" spans="1:18" x14ac:dyDescent="0.35">
      <c r="A204" t="s">
        <v>233</v>
      </c>
      <c r="B204" t="s">
        <v>42</v>
      </c>
      <c r="C204" t="s">
        <v>10</v>
      </c>
      <c r="D204" t="s">
        <v>1939</v>
      </c>
      <c r="E204" s="3">
        <v>30</v>
      </c>
      <c r="F204" t="s">
        <v>1821</v>
      </c>
      <c r="G204" t="s">
        <v>1818</v>
      </c>
      <c r="H204" t="s">
        <v>11</v>
      </c>
      <c r="I204" s="1" t="s">
        <v>1245</v>
      </c>
      <c r="J204" s="7">
        <v>4</v>
      </c>
      <c r="K204" s="7">
        <v>2021</v>
      </c>
      <c r="L204" s="3">
        <v>89124.54</v>
      </c>
      <c r="M204" s="9" t="s">
        <v>1960</v>
      </c>
      <c r="N204" s="2" t="s">
        <v>1874</v>
      </c>
      <c r="O204" s="3">
        <v>2252237280</v>
      </c>
      <c r="P204" t="s">
        <v>15</v>
      </c>
      <c r="Q204">
        <v>4</v>
      </c>
      <c r="R204" t="s">
        <v>1962</v>
      </c>
    </row>
    <row r="205" spans="1:18" x14ac:dyDescent="0.35">
      <c r="A205" t="s">
        <v>234</v>
      </c>
      <c r="B205" t="s">
        <v>25</v>
      </c>
      <c r="C205" t="s">
        <v>62</v>
      </c>
      <c r="D205" t="s">
        <v>1922</v>
      </c>
      <c r="E205" s="3">
        <v>30</v>
      </c>
      <c r="F205" t="s">
        <v>1813</v>
      </c>
      <c r="G205" t="s">
        <v>1818</v>
      </c>
      <c r="H205" t="s">
        <v>19</v>
      </c>
      <c r="I205" s="1" t="s">
        <v>1246</v>
      </c>
      <c r="J205" s="7">
        <v>2</v>
      </c>
      <c r="K205" s="7">
        <v>2023</v>
      </c>
      <c r="L205" s="3">
        <v>113871.36</v>
      </c>
      <c r="M205" s="9" t="s">
        <v>1960</v>
      </c>
      <c r="N205" s="2" t="s">
        <v>1857</v>
      </c>
      <c r="O205" s="3">
        <v>7932302345</v>
      </c>
      <c r="P205" t="s">
        <v>12</v>
      </c>
      <c r="Q205">
        <v>2</v>
      </c>
      <c r="R205" t="s">
        <v>1963</v>
      </c>
    </row>
    <row r="206" spans="1:18" x14ac:dyDescent="0.35">
      <c r="A206" t="s">
        <v>235</v>
      </c>
      <c r="B206" t="s">
        <v>42</v>
      </c>
      <c r="C206" t="s">
        <v>14</v>
      </c>
      <c r="D206" t="s">
        <v>1936</v>
      </c>
      <c r="E206" s="3">
        <v>30</v>
      </c>
      <c r="F206" t="s">
        <v>1823</v>
      </c>
      <c r="G206" t="s">
        <v>1816</v>
      </c>
      <c r="H206" t="s">
        <v>23</v>
      </c>
      <c r="I206" s="1" t="s">
        <v>1190</v>
      </c>
      <c r="J206" s="7">
        <v>4</v>
      </c>
      <c r="K206" s="7">
        <v>2021</v>
      </c>
      <c r="L206" s="3">
        <v>62618.400000000001</v>
      </c>
      <c r="M206" s="9" t="s">
        <v>1959</v>
      </c>
      <c r="N206" s="2" t="s">
        <v>1871</v>
      </c>
      <c r="O206" s="3">
        <v>7912141613</v>
      </c>
      <c r="P206" t="s">
        <v>15</v>
      </c>
      <c r="Q206">
        <v>4</v>
      </c>
      <c r="R206" t="s">
        <v>1963</v>
      </c>
    </row>
    <row r="207" spans="1:18" x14ac:dyDescent="0.35">
      <c r="A207" t="s">
        <v>236</v>
      </c>
      <c r="B207" t="s">
        <v>40</v>
      </c>
      <c r="C207" t="s">
        <v>18</v>
      </c>
      <c r="D207" t="s">
        <v>1947</v>
      </c>
      <c r="E207" s="3">
        <v>30</v>
      </c>
      <c r="F207" t="s">
        <v>1817</v>
      </c>
      <c r="G207" t="s">
        <v>1822</v>
      </c>
      <c r="H207" t="s">
        <v>11</v>
      </c>
      <c r="I207" s="1" t="s">
        <v>1247</v>
      </c>
      <c r="J207" s="7">
        <v>5</v>
      </c>
      <c r="K207" s="7">
        <v>2020</v>
      </c>
      <c r="L207" s="3">
        <v>70705.45</v>
      </c>
      <c r="M207" s="9" t="s">
        <v>1959</v>
      </c>
      <c r="N207" s="2" t="s">
        <v>1882</v>
      </c>
      <c r="O207" s="3">
        <v>1509377099</v>
      </c>
      <c r="P207" t="s">
        <v>20</v>
      </c>
      <c r="Q207">
        <v>3</v>
      </c>
      <c r="R207" t="s">
        <v>1963</v>
      </c>
    </row>
    <row r="208" spans="1:18" x14ac:dyDescent="0.35">
      <c r="A208" t="s">
        <v>237</v>
      </c>
      <c r="B208" t="s">
        <v>17</v>
      </c>
      <c r="C208" t="s">
        <v>29</v>
      </c>
      <c r="D208" t="s">
        <v>1897</v>
      </c>
      <c r="E208" s="3">
        <v>35</v>
      </c>
      <c r="F208" t="s">
        <v>1821</v>
      </c>
      <c r="G208" t="s">
        <v>1822</v>
      </c>
      <c r="H208" t="s">
        <v>19</v>
      </c>
      <c r="I208" s="1" t="s">
        <v>1248</v>
      </c>
      <c r="J208" s="7">
        <v>3</v>
      </c>
      <c r="K208" s="7">
        <v>2022</v>
      </c>
      <c r="L208" s="3">
        <v>60797.69</v>
      </c>
      <c r="M208" s="9" t="s">
        <v>1959</v>
      </c>
      <c r="N208" s="2" t="s">
        <v>1832</v>
      </c>
      <c r="O208" s="3">
        <v>4090138068</v>
      </c>
      <c r="P208" t="s">
        <v>12</v>
      </c>
      <c r="Q208">
        <v>2</v>
      </c>
      <c r="R208" t="s">
        <v>1962</v>
      </c>
    </row>
    <row r="209" spans="1:18" x14ac:dyDescent="0.35">
      <c r="A209" t="s">
        <v>238</v>
      </c>
      <c r="B209" t="s">
        <v>34</v>
      </c>
      <c r="C209" t="s">
        <v>14</v>
      </c>
      <c r="D209" t="s">
        <v>1918</v>
      </c>
      <c r="E209" s="3">
        <v>40</v>
      </c>
      <c r="F209" t="s">
        <v>1819</v>
      </c>
      <c r="G209" t="s">
        <v>1820</v>
      </c>
      <c r="H209" t="s">
        <v>23</v>
      </c>
      <c r="I209" s="1" t="s">
        <v>1249</v>
      </c>
      <c r="J209" s="7">
        <v>2</v>
      </c>
      <c r="K209" s="7">
        <v>2023</v>
      </c>
      <c r="L209" s="3">
        <v>100371</v>
      </c>
      <c r="M209" s="9" t="s">
        <v>1960</v>
      </c>
      <c r="N209" s="2" t="s">
        <v>1853</v>
      </c>
      <c r="O209" s="3">
        <v>8477596554</v>
      </c>
      <c r="P209" t="s">
        <v>27</v>
      </c>
      <c r="Q209">
        <v>1</v>
      </c>
      <c r="R209" t="s">
        <v>1962</v>
      </c>
    </row>
    <row r="210" spans="1:18" x14ac:dyDescent="0.35">
      <c r="A210" t="s">
        <v>239</v>
      </c>
      <c r="B210" t="s">
        <v>22</v>
      </c>
      <c r="C210" t="s">
        <v>50</v>
      </c>
      <c r="D210" t="s">
        <v>1943</v>
      </c>
      <c r="E210" s="3">
        <v>40</v>
      </c>
      <c r="F210" t="s">
        <v>1817</v>
      </c>
      <c r="G210" t="s">
        <v>1824</v>
      </c>
      <c r="H210" t="s">
        <v>11</v>
      </c>
      <c r="I210" s="1" t="s">
        <v>1250</v>
      </c>
      <c r="J210" s="7">
        <v>4</v>
      </c>
      <c r="K210" s="7">
        <v>2021</v>
      </c>
      <c r="L210" s="3">
        <v>117591.76</v>
      </c>
      <c r="M210" s="9" t="s">
        <v>1960</v>
      </c>
      <c r="N210" s="2" t="s">
        <v>1878</v>
      </c>
      <c r="O210" s="3">
        <v>5356690550</v>
      </c>
      <c r="P210" t="s">
        <v>20</v>
      </c>
      <c r="Q210">
        <v>3</v>
      </c>
      <c r="R210" t="s">
        <v>1963</v>
      </c>
    </row>
    <row r="211" spans="1:18" x14ac:dyDescent="0.35">
      <c r="A211" t="s">
        <v>240</v>
      </c>
      <c r="B211" t="s">
        <v>37</v>
      </c>
      <c r="C211" t="s">
        <v>18</v>
      </c>
      <c r="D211" t="s">
        <v>1941</v>
      </c>
      <c r="E211" s="3">
        <v>35</v>
      </c>
      <c r="F211" t="s">
        <v>1813</v>
      </c>
      <c r="G211" t="s">
        <v>1824</v>
      </c>
      <c r="H211" t="s">
        <v>23</v>
      </c>
      <c r="I211" s="1" t="s">
        <v>1251</v>
      </c>
      <c r="J211" s="7">
        <v>3</v>
      </c>
      <c r="K211" s="7">
        <v>2022</v>
      </c>
      <c r="L211" s="3">
        <v>103860.7</v>
      </c>
      <c r="M211" s="9" t="s">
        <v>1960</v>
      </c>
      <c r="N211" s="2" t="s">
        <v>1876</v>
      </c>
      <c r="O211" s="3">
        <v>762091842</v>
      </c>
      <c r="P211" t="s">
        <v>12</v>
      </c>
      <c r="Q211">
        <v>2</v>
      </c>
      <c r="R211" t="s">
        <v>1962</v>
      </c>
    </row>
    <row r="212" spans="1:18" x14ac:dyDescent="0.35">
      <c r="A212" t="s">
        <v>241</v>
      </c>
      <c r="B212" t="s">
        <v>42</v>
      </c>
      <c r="C212" t="s">
        <v>10</v>
      </c>
      <c r="D212" t="s">
        <v>1939</v>
      </c>
      <c r="E212" s="3">
        <v>30</v>
      </c>
      <c r="F212" t="s">
        <v>1817</v>
      </c>
      <c r="G212" t="s">
        <v>1824</v>
      </c>
      <c r="H212" t="s">
        <v>11</v>
      </c>
      <c r="I212" s="1" t="s">
        <v>1182</v>
      </c>
      <c r="J212" s="7">
        <v>1</v>
      </c>
      <c r="K212" s="7">
        <v>2024</v>
      </c>
      <c r="L212" s="3">
        <v>67500.22</v>
      </c>
      <c r="M212" s="9" t="s">
        <v>1959</v>
      </c>
      <c r="N212" s="2" t="s">
        <v>1874</v>
      </c>
      <c r="O212" s="3">
        <v>5797863049</v>
      </c>
      <c r="P212" t="s">
        <v>12</v>
      </c>
      <c r="Q212">
        <v>2</v>
      </c>
      <c r="R212" t="s">
        <v>1962</v>
      </c>
    </row>
    <row r="213" spans="1:18" x14ac:dyDescent="0.35">
      <c r="A213" t="s">
        <v>242</v>
      </c>
      <c r="B213" t="s">
        <v>25</v>
      </c>
      <c r="C213" t="s">
        <v>10</v>
      </c>
      <c r="D213" t="s">
        <v>1900</v>
      </c>
      <c r="E213" s="3">
        <v>30</v>
      </c>
      <c r="F213" t="s">
        <v>1819</v>
      </c>
      <c r="G213" t="s">
        <v>1818</v>
      </c>
      <c r="H213" t="s">
        <v>19</v>
      </c>
      <c r="I213" s="1" t="s">
        <v>1252</v>
      </c>
      <c r="J213" s="7">
        <v>1</v>
      </c>
      <c r="K213" s="7">
        <v>2024</v>
      </c>
      <c r="L213" s="3">
        <v>58727.44</v>
      </c>
      <c r="M213" s="9" t="s">
        <v>1958</v>
      </c>
      <c r="N213" s="2" t="s">
        <v>1835</v>
      </c>
      <c r="O213" s="3">
        <v>5057397690</v>
      </c>
      <c r="P213" t="s">
        <v>27</v>
      </c>
      <c r="Q213">
        <v>1</v>
      </c>
      <c r="R213" t="s">
        <v>1962</v>
      </c>
    </row>
    <row r="214" spans="1:18" x14ac:dyDescent="0.35">
      <c r="A214" t="s">
        <v>243</v>
      </c>
      <c r="B214" t="s">
        <v>34</v>
      </c>
      <c r="C214" t="s">
        <v>18</v>
      </c>
      <c r="D214" t="s">
        <v>1916</v>
      </c>
      <c r="E214" s="3">
        <v>35</v>
      </c>
      <c r="F214" t="s">
        <v>1815</v>
      </c>
      <c r="G214" t="s">
        <v>1824</v>
      </c>
      <c r="H214" t="s">
        <v>11</v>
      </c>
      <c r="I214" s="1" t="s">
        <v>1117</v>
      </c>
      <c r="J214" s="7">
        <v>1</v>
      </c>
      <c r="K214" s="7">
        <v>2024</v>
      </c>
      <c r="L214" s="3">
        <v>80623.08</v>
      </c>
      <c r="M214" s="9" t="s">
        <v>1959</v>
      </c>
      <c r="N214" s="2" t="s">
        <v>1851</v>
      </c>
      <c r="O214" s="3">
        <v>5671649327</v>
      </c>
      <c r="P214" t="s">
        <v>15</v>
      </c>
      <c r="Q214">
        <v>4</v>
      </c>
      <c r="R214" t="s">
        <v>1962</v>
      </c>
    </row>
    <row r="215" spans="1:18" x14ac:dyDescent="0.35">
      <c r="A215" t="s">
        <v>244</v>
      </c>
      <c r="B215" t="s">
        <v>37</v>
      </c>
      <c r="C215" t="s">
        <v>10</v>
      </c>
      <c r="D215" t="s">
        <v>1903</v>
      </c>
      <c r="E215" s="3">
        <v>40</v>
      </c>
      <c r="F215" t="s">
        <v>1823</v>
      </c>
      <c r="G215" t="s">
        <v>1816</v>
      </c>
      <c r="H215" t="s">
        <v>23</v>
      </c>
      <c r="I215" s="1" t="s">
        <v>1253</v>
      </c>
      <c r="J215" s="7">
        <v>5</v>
      </c>
      <c r="K215" s="7">
        <v>2020</v>
      </c>
      <c r="L215" s="3">
        <v>77751.78</v>
      </c>
      <c r="M215" s="9" t="s">
        <v>1959</v>
      </c>
      <c r="N215" s="2" t="s">
        <v>1838</v>
      </c>
      <c r="O215" s="3">
        <v>9802714871</v>
      </c>
      <c r="P215" t="s">
        <v>15</v>
      </c>
      <c r="Q215">
        <v>4</v>
      </c>
      <c r="R215" t="s">
        <v>1963</v>
      </c>
    </row>
    <row r="216" spans="1:18" x14ac:dyDescent="0.35">
      <c r="A216" t="s">
        <v>245</v>
      </c>
      <c r="B216" t="s">
        <v>42</v>
      </c>
      <c r="C216" t="s">
        <v>26</v>
      </c>
      <c r="D216" t="s">
        <v>1905</v>
      </c>
      <c r="E216" s="3">
        <v>25</v>
      </c>
      <c r="F216" t="s">
        <v>1823</v>
      </c>
      <c r="G216" t="s">
        <v>1822</v>
      </c>
      <c r="H216" t="s">
        <v>11</v>
      </c>
      <c r="I216" s="1" t="s">
        <v>1254</v>
      </c>
      <c r="J216" s="7">
        <v>4</v>
      </c>
      <c r="K216" s="7">
        <v>2021</v>
      </c>
      <c r="L216" s="3">
        <v>115157.81</v>
      </c>
      <c r="M216" s="9" t="s">
        <v>1960</v>
      </c>
      <c r="N216" s="2" t="s">
        <v>1840</v>
      </c>
      <c r="O216" s="3">
        <v>7178333210</v>
      </c>
      <c r="P216" t="s">
        <v>20</v>
      </c>
      <c r="Q216">
        <v>3</v>
      </c>
      <c r="R216" t="s">
        <v>1963</v>
      </c>
    </row>
    <row r="217" spans="1:18" x14ac:dyDescent="0.35">
      <c r="A217" t="s">
        <v>246</v>
      </c>
      <c r="B217" t="s">
        <v>25</v>
      </c>
      <c r="C217" t="s">
        <v>18</v>
      </c>
      <c r="D217" t="s">
        <v>1898</v>
      </c>
      <c r="E217" s="3">
        <v>30</v>
      </c>
      <c r="F217" t="s">
        <v>1817</v>
      </c>
      <c r="G217" t="s">
        <v>1816</v>
      </c>
      <c r="H217" t="s">
        <v>23</v>
      </c>
      <c r="I217" s="1" t="s">
        <v>1255</v>
      </c>
      <c r="J217" s="7">
        <v>1</v>
      </c>
      <c r="K217" s="7">
        <v>2024</v>
      </c>
      <c r="L217" s="3">
        <v>83071.850000000006</v>
      </c>
      <c r="M217" s="9" t="s">
        <v>1959</v>
      </c>
      <c r="N217" s="2" t="s">
        <v>1833</v>
      </c>
      <c r="O217" s="3">
        <v>6025643470</v>
      </c>
      <c r="P217" t="s">
        <v>27</v>
      </c>
      <c r="Q217">
        <v>1</v>
      </c>
      <c r="R217" t="s">
        <v>1963</v>
      </c>
    </row>
    <row r="218" spans="1:18" x14ac:dyDescent="0.35">
      <c r="A218" t="s">
        <v>247</v>
      </c>
      <c r="B218" t="s">
        <v>40</v>
      </c>
      <c r="C218" t="s">
        <v>14</v>
      </c>
      <c r="D218" t="s">
        <v>1953</v>
      </c>
      <c r="E218" s="3">
        <v>40</v>
      </c>
      <c r="F218" t="s">
        <v>1821</v>
      </c>
      <c r="G218" t="s">
        <v>1816</v>
      </c>
      <c r="H218" t="s">
        <v>11</v>
      </c>
      <c r="I218" s="1" t="s">
        <v>1256</v>
      </c>
      <c r="J218" s="7">
        <v>5</v>
      </c>
      <c r="K218" s="7">
        <v>2020</v>
      </c>
      <c r="L218" s="3">
        <v>67914.67</v>
      </c>
      <c r="M218" s="9" t="s">
        <v>1959</v>
      </c>
      <c r="N218" s="2" t="s">
        <v>1888</v>
      </c>
      <c r="O218" s="3">
        <v>2871539914</v>
      </c>
      <c r="P218" t="s">
        <v>15</v>
      </c>
      <c r="Q218">
        <v>4</v>
      </c>
      <c r="R218" t="s">
        <v>1962</v>
      </c>
    </row>
    <row r="219" spans="1:18" x14ac:dyDescent="0.35">
      <c r="A219" t="s">
        <v>248</v>
      </c>
      <c r="B219" t="s">
        <v>42</v>
      </c>
      <c r="C219" t="s">
        <v>18</v>
      </c>
      <c r="D219" t="s">
        <v>1906</v>
      </c>
      <c r="E219" s="3">
        <v>25</v>
      </c>
      <c r="F219" t="s">
        <v>1823</v>
      </c>
      <c r="G219" t="s">
        <v>1822</v>
      </c>
      <c r="H219" t="s">
        <v>23</v>
      </c>
      <c r="I219" s="1" t="s">
        <v>1257</v>
      </c>
      <c r="J219" s="7">
        <v>5</v>
      </c>
      <c r="K219" s="7">
        <v>2020</v>
      </c>
      <c r="L219" s="3">
        <v>53342.46</v>
      </c>
      <c r="M219" s="9" t="s">
        <v>1958</v>
      </c>
      <c r="N219" s="2" t="s">
        <v>1841</v>
      </c>
      <c r="O219" s="3">
        <v>6686334140</v>
      </c>
      <c r="P219" t="s">
        <v>27</v>
      </c>
      <c r="Q219">
        <v>1</v>
      </c>
      <c r="R219" t="s">
        <v>1963</v>
      </c>
    </row>
    <row r="220" spans="1:18" x14ac:dyDescent="0.35">
      <c r="A220" t="s">
        <v>249</v>
      </c>
      <c r="B220" t="s">
        <v>40</v>
      </c>
      <c r="C220" t="s">
        <v>29</v>
      </c>
      <c r="D220" t="s">
        <v>1942</v>
      </c>
      <c r="E220" s="3">
        <v>25</v>
      </c>
      <c r="F220" t="s">
        <v>1819</v>
      </c>
      <c r="G220" t="s">
        <v>1820</v>
      </c>
      <c r="H220" t="s">
        <v>19</v>
      </c>
      <c r="I220" s="1" t="s">
        <v>1258</v>
      </c>
      <c r="J220" s="7">
        <v>2</v>
      </c>
      <c r="K220" s="7">
        <v>2023</v>
      </c>
      <c r="L220" s="3">
        <v>51150.47</v>
      </c>
      <c r="M220" s="9" t="s">
        <v>1958</v>
      </c>
      <c r="N220" s="2" t="s">
        <v>1877</v>
      </c>
      <c r="O220" s="3">
        <v>1159319524</v>
      </c>
      <c r="P220" t="s">
        <v>15</v>
      </c>
      <c r="Q220">
        <v>4</v>
      </c>
      <c r="R220" t="s">
        <v>1963</v>
      </c>
    </row>
    <row r="221" spans="1:18" x14ac:dyDescent="0.35">
      <c r="A221" t="s">
        <v>250</v>
      </c>
      <c r="B221" t="s">
        <v>37</v>
      </c>
      <c r="C221" t="s">
        <v>10</v>
      </c>
      <c r="D221" t="s">
        <v>1903</v>
      </c>
      <c r="E221" s="3">
        <v>30</v>
      </c>
      <c r="F221" t="s">
        <v>1823</v>
      </c>
      <c r="G221" t="s">
        <v>1820</v>
      </c>
      <c r="H221" t="s">
        <v>11</v>
      </c>
      <c r="I221" s="1" t="s">
        <v>1259</v>
      </c>
      <c r="J221" s="7">
        <v>2</v>
      </c>
      <c r="K221" s="7">
        <v>2023</v>
      </c>
      <c r="L221" s="3">
        <v>74697.119999999995</v>
      </c>
      <c r="M221" s="9" t="s">
        <v>1959</v>
      </c>
      <c r="N221" s="2" t="s">
        <v>1838</v>
      </c>
      <c r="O221" s="3">
        <v>6904098365</v>
      </c>
      <c r="P221" t="s">
        <v>12</v>
      </c>
      <c r="Q221">
        <v>2</v>
      </c>
      <c r="R221" t="s">
        <v>1962</v>
      </c>
    </row>
    <row r="222" spans="1:18" x14ac:dyDescent="0.35">
      <c r="A222" t="s">
        <v>251</v>
      </c>
      <c r="B222" t="s">
        <v>34</v>
      </c>
      <c r="C222" t="s">
        <v>26</v>
      </c>
      <c r="D222" t="s">
        <v>1910</v>
      </c>
      <c r="E222" s="3">
        <v>25</v>
      </c>
      <c r="F222" t="s">
        <v>1821</v>
      </c>
      <c r="G222" t="s">
        <v>1814</v>
      </c>
      <c r="H222" t="s">
        <v>11</v>
      </c>
      <c r="I222" s="1" t="s">
        <v>1260</v>
      </c>
      <c r="J222" s="7">
        <v>2</v>
      </c>
      <c r="K222" s="7">
        <v>2022</v>
      </c>
      <c r="L222" s="3">
        <v>88085.74</v>
      </c>
      <c r="M222" s="9" t="s">
        <v>1960</v>
      </c>
      <c r="N222" s="2" t="s">
        <v>1845</v>
      </c>
      <c r="O222" s="3">
        <v>5528993159</v>
      </c>
      <c r="P222" t="s">
        <v>15</v>
      </c>
      <c r="Q222">
        <v>4</v>
      </c>
      <c r="R222" t="s">
        <v>1962</v>
      </c>
    </row>
    <row r="223" spans="1:18" x14ac:dyDescent="0.35">
      <c r="A223" t="s">
        <v>252</v>
      </c>
      <c r="B223" t="s">
        <v>17</v>
      </c>
      <c r="C223" t="s">
        <v>26</v>
      </c>
      <c r="D223" t="s">
        <v>1950</v>
      </c>
      <c r="E223" s="3">
        <v>40</v>
      </c>
      <c r="F223" t="s">
        <v>1815</v>
      </c>
      <c r="G223" t="s">
        <v>1816</v>
      </c>
      <c r="H223" t="s">
        <v>19</v>
      </c>
      <c r="I223" s="1" t="s">
        <v>1261</v>
      </c>
      <c r="J223" s="7">
        <v>3</v>
      </c>
      <c r="K223" s="7">
        <v>2022</v>
      </c>
      <c r="L223" s="3">
        <v>118672.76</v>
      </c>
      <c r="M223" s="9" t="s">
        <v>1960</v>
      </c>
      <c r="N223" s="2" t="s">
        <v>1885</v>
      </c>
      <c r="O223" s="3">
        <v>8752437728</v>
      </c>
      <c r="P223" t="s">
        <v>27</v>
      </c>
      <c r="Q223">
        <v>1</v>
      </c>
      <c r="R223" t="s">
        <v>1963</v>
      </c>
    </row>
    <row r="224" spans="1:18" x14ac:dyDescent="0.35">
      <c r="A224" t="s">
        <v>253</v>
      </c>
      <c r="B224" t="s">
        <v>17</v>
      </c>
      <c r="C224" t="s">
        <v>50</v>
      </c>
      <c r="D224" t="s">
        <v>1929</v>
      </c>
      <c r="E224" s="3">
        <v>35</v>
      </c>
      <c r="F224" t="s">
        <v>1819</v>
      </c>
      <c r="G224" t="s">
        <v>1814</v>
      </c>
      <c r="H224" t="s">
        <v>11</v>
      </c>
      <c r="I224" s="1" t="s">
        <v>1262</v>
      </c>
      <c r="J224" s="7">
        <v>1</v>
      </c>
      <c r="K224" s="7">
        <v>2024</v>
      </c>
      <c r="L224" s="3">
        <v>95997.31</v>
      </c>
      <c r="M224" s="9" t="s">
        <v>1960</v>
      </c>
      <c r="N224" s="2" t="s">
        <v>1864</v>
      </c>
      <c r="O224" s="3">
        <v>4209548148</v>
      </c>
      <c r="P224" t="s">
        <v>12</v>
      </c>
      <c r="Q224">
        <v>2</v>
      </c>
      <c r="R224" t="s">
        <v>1963</v>
      </c>
    </row>
    <row r="225" spans="1:18" x14ac:dyDescent="0.35">
      <c r="A225" t="s">
        <v>254</v>
      </c>
      <c r="B225" t="s">
        <v>25</v>
      </c>
      <c r="C225" t="s">
        <v>14</v>
      </c>
      <c r="D225" t="s">
        <v>1940</v>
      </c>
      <c r="E225" s="3">
        <v>30</v>
      </c>
      <c r="F225" t="s">
        <v>1819</v>
      </c>
      <c r="G225" t="s">
        <v>1814</v>
      </c>
      <c r="H225" t="s">
        <v>19</v>
      </c>
      <c r="I225" s="1" t="s">
        <v>1263</v>
      </c>
      <c r="J225" s="7">
        <v>3</v>
      </c>
      <c r="K225" s="7">
        <v>2021</v>
      </c>
      <c r="L225" s="3">
        <v>106945.62</v>
      </c>
      <c r="M225" s="9" t="s">
        <v>1960</v>
      </c>
      <c r="N225" s="2" t="s">
        <v>1875</v>
      </c>
      <c r="O225" s="3">
        <v>7374605232</v>
      </c>
      <c r="P225" t="s">
        <v>12</v>
      </c>
      <c r="Q225">
        <v>2</v>
      </c>
      <c r="R225" t="s">
        <v>1963</v>
      </c>
    </row>
    <row r="226" spans="1:18" x14ac:dyDescent="0.35">
      <c r="A226" t="s">
        <v>255</v>
      </c>
      <c r="B226" t="s">
        <v>40</v>
      </c>
      <c r="C226" t="s">
        <v>35</v>
      </c>
      <c r="D226" t="s">
        <v>1915</v>
      </c>
      <c r="E226" s="3">
        <v>40</v>
      </c>
      <c r="F226" t="s">
        <v>1813</v>
      </c>
      <c r="G226" t="s">
        <v>1822</v>
      </c>
      <c r="H226" t="s">
        <v>11</v>
      </c>
      <c r="I226" s="1" t="s">
        <v>1264</v>
      </c>
      <c r="J226" s="7">
        <v>5</v>
      </c>
      <c r="K226" s="7">
        <v>2020</v>
      </c>
      <c r="L226" s="3">
        <v>100123.15</v>
      </c>
      <c r="M226" s="9" t="s">
        <v>1960</v>
      </c>
      <c r="N226" s="2" t="s">
        <v>1850</v>
      </c>
      <c r="O226" s="3">
        <v>276420864</v>
      </c>
      <c r="P226" t="s">
        <v>12</v>
      </c>
      <c r="Q226">
        <v>2</v>
      </c>
      <c r="R226" t="s">
        <v>1963</v>
      </c>
    </row>
    <row r="227" spans="1:18" x14ac:dyDescent="0.35">
      <c r="A227" t="s">
        <v>256</v>
      </c>
      <c r="B227" t="s">
        <v>17</v>
      </c>
      <c r="C227" t="s">
        <v>35</v>
      </c>
      <c r="D227" t="s">
        <v>1925</v>
      </c>
      <c r="E227" s="3">
        <v>35</v>
      </c>
      <c r="F227" t="s">
        <v>1817</v>
      </c>
      <c r="G227" t="s">
        <v>1816</v>
      </c>
      <c r="H227" t="s">
        <v>11</v>
      </c>
      <c r="I227" s="1" t="s">
        <v>1265</v>
      </c>
      <c r="J227" s="7">
        <v>0</v>
      </c>
      <c r="K227" s="7">
        <v>2024</v>
      </c>
      <c r="L227" s="3">
        <v>52933.42</v>
      </c>
      <c r="M227" s="9" t="s">
        <v>1958</v>
      </c>
      <c r="N227" s="2" t="s">
        <v>1860</v>
      </c>
      <c r="O227" s="3">
        <v>6756618442</v>
      </c>
      <c r="P227" t="s">
        <v>27</v>
      </c>
      <c r="Q227">
        <v>1</v>
      </c>
      <c r="R227" t="s">
        <v>1962</v>
      </c>
    </row>
    <row r="228" spans="1:18" x14ac:dyDescent="0.35">
      <c r="A228" t="s">
        <v>257</v>
      </c>
      <c r="B228" t="s">
        <v>42</v>
      </c>
      <c r="C228" t="s">
        <v>18</v>
      </c>
      <c r="D228" t="s">
        <v>1906</v>
      </c>
      <c r="E228" s="3">
        <v>30</v>
      </c>
      <c r="F228" t="s">
        <v>1815</v>
      </c>
      <c r="G228" t="s">
        <v>1814</v>
      </c>
      <c r="H228" t="s">
        <v>11</v>
      </c>
      <c r="I228" s="1" t="s">
        <v>1266</v>
      </c>
      <c r="J228" s="7">
        <v>1</v>
      </c>
      <c r="K228" s="7">
        <v>2024</v>
      </c>
      <c r="L228" s="3">
        <v>95283.03</v>
      </c>
      <c r="M228" s="9" t="s">
        <v>1960</v>
      </c>
      <c r="N228" s="2" t="s">
        <v>1841</v>
      </c>
      <c r="O228" s="3">
        <v>8612590471</v>
      </c>
      <c r="P228" t="s">
        <v>20</v>
      </c>
      <c r="Q228">
        <v>3</v>
      </c>
      <c r="R228" t="s">
        <v>1963</v>
      </c>
    </row>
    <row r="229" spans="1:18" x14ac:dyDescent="0.35">
      <c r="A229" t="s">
        <v>258</v>
      </c>
      <c r="B229" t="s">
        <v>17</v>
      </c>
      <c r="C229" t="s">
        <v>50</v>
      </c>
      <c r="D229" t="s">
        <v>1929</v>
      </c>
      <c r="E229" s="3">
        <v>35</v>
      </c>
      <c r="F229" t="s">
        <v>1823</v>
      </c>
      <c r="G229" t="s">
        <v>1816</v>
      </c>
      <c r="H229" t="s">
        <v>23</v>
      </c>
      <c r="I229" s="1" t="s">
        <v>1267</v>
      </c>
      <c r="J229" s="7">
        <v>3</v>
      </c>
      <c r="K229" s="7">
        <v>2022</v>
      </c>
      <c r="L229" s="3">
        <v>112264.06</v>
      </c>
      <c r="M229" s="9" t="s">
        <v>1960</v>
      </c>
      <c r="N229" s="2" t="s">
        <v>1864</v>
      </c>
      <c r="O229" s="3">
        <v>9277423329</v>
      </c>
      <c r="P229" t="s">
        <v>20</v>
      </c>
      <c r="Q229">
        <v>3</v>
      </c>
      <c r="R229" t="s">
        <v>1963</v>
      </c>
    </row>
    <row r="230" spans="1:18" x14ac:dyDescent="0.35">
      <c r="A230" t="s">
        <v>259</v>
      </c>
      <c r="B230" t="s">
        <v>42</v>
      </c>
      <c r="C230" t="s">
        <v>62</v>
      </c>
      <c r="D230" t="s">
        <v>1921</v>
      </c>
      <c r="E230" s="3">
        <v>35</v>
      </c>
      <c r="F230" t="s">
        <v>1817</v>
      </c>
      <c r="G230" t="s">
        <v>1820</v>
      </c>
      <c r="H230" t="s">
        <v>19</v>
      </c>
      <c r="I230" s="1" t="s">
        <v>1268</v>
      </c>
      <c r="J230" s="7">
        <v>3</v>
      </c>
      <c r="K230" s="7">
        <v>2022</v>
      </c>
      <c r="L230" s="3">
        <v>75714.28</v>
      </c>
      <c r="M230" s="9" t="s">
        <v>1959</v>
      </c>
      <c r="N230" s="2" t="s">
        <v>1856</v>
      </c>
      <c r="O230" s="3">
        <v>5912662014</v>
      </c>
      <c r="P230" t="s">
        <v>20</v>
      </c>
      <c r="Q230">
        <v>3</v>
      </c>
      <c r="R230" t="s">
        <v>1962</v>
      </c>
    </row>
    <row r="231" spans="1:18" x14ac:dyDescent="0.35">
      <c r="A231" t="s">
        <v>260</v>
      </c>
      <c r="B231" t="s">
        <v>22</v>
      </c>
      <c r="C231" t="s">
        <v>18</v>
      </c>
      <c r="D231" t="s">
        <v>1945</v>
      </c>
      <c r="E231" s="3">
        <v>25</v>
      </c>
      <c r="F231" t="s">
        <v>1813</v>
      </c>
      <c r="G231" t="s">
        <v>1820</v>
      </c>
      <c r="H231" t="s">
        <v>11</v>
      </c>
      <c r="I231" s="1" t="s">
        <v>1269</v>
      </c>
      <c r="J231" s="7">
        <v>3</v>
      </c>
      <c r="K231" s="7">
        <v>2022</v>
      </c>
      <c r="L231" s="3">
        <v>92171.73</v>
      </c>
      <c r="M231" s="9" t="s">
        <v>1960</v>
      </c>
      <c r="N231" s="2" t="s">
        <v>1880</v>
      </c>
      <c r="O231" s="3">
        <v>7201859625</v>
      </c>
      <c r="P231" t="s">
        <v>27</v>
      </c>
      <c r="Q231">
        <v>1</v>
      </c>
      <c r="R231" t="s">
        <v>1963</v>
      </c>
    </row>
    <row r="232" spans="1:18" x14ac:dyDescent="0.35">
      <c r="A232" t="s">
        <v>261</v>
      </c>
      <c r="B232" t="s">
        <v>22</v>
      </c>
      <c r="C232" t="s">
        <v>50</v>
      </c>
      <c r="D232" t="s">
        <v>1943</v>
      </c>
      <c r="E232" s="3">
        <v>35</v>
      </c>
      <c r="F232" t="s">
        <v>1819</v>
      </c>
      <c r="G232" t="s">
        <v>1816</v>
      </c>
      <c r="H232" t="s">
        <v>23</v>
      </c>
      <c r="I232" s="1" t="s">
        <v>1270</v>
      </c>
      <c r="J232" s="7">
        <v>2</v>
      </c>
      <c r="K232" s="7">
        <v>2023</v>
      </c>
      <c r="L232" s="3">
        <v>70694.8</v>
      </c>
      <c r="M232" s="9" t="s">
        <v>1959</v>
      </c>
      <c r="N232" s="2" t="s">
        <v>1878</v>
      </c>
      <c r="O232" s="3">
        <v>3013674925</v>
      </c>
      <c r="P232" t="s">
        <v>12</v>
      </c>
      <c r="Q232">
        <v>2</v>
      </c>
      <c r="R232" t="s">
        <v>1962</v>
      </c>
    </row>
    <row r="233" spans="1:18" x14ac:dyDescent="0.35">
      <c r="A233" t="s">
        <v>262</v>
      </c>
      <c r="B233" t="s">
        <v>42</v>
      </c>
      <c r="C233" t="s">
        <v>14</v>
      </c>
      <c r="D233" t="s">
        <v>1936</v>
      </c>
      <c r="E233" s="3">
        <v>30</v>
      </c>
      <c r="F233" t="s">
        <v>1813</v>
      </c>
      <c r="G233" t="s">
        <v>1820</v>
      </c>
      <c r="H233" t="s">
        <v>23</v>
      </c>
      <c r="I233" s="1" t="s">
        <v>1271</v>
      </c>
      <c r="J233" s="7">
        <v>3</v>
      </c>
      <c r="K233" s="7">
        <v>2022</v>
      </c>
      <c r="L233" s="3">
        <v>52964.86</v>
      </c>
      <c r="M233" s="9" t="s">
        <v>1958</v>
      </c>
      <c r="N233" s="2" t="s">
        <v>1871</v>
      </c>
      <c r="O233" s="3">
        <v>1764750110</v>
      </c>
      <c r="P233" t="s">
        <v>20</v>
      </c>
      <c r="Q233">
        <v>3</v>
      </c>
      <c r="R233" t="s">
        <v>1962</v>
      </c>
    </row>
    <row r="234" spans="1:18" x14ac:dyDescent="0.35">
      <c r="A234" t="s">
        <v>263</v>
      </c>
      <c r="B234" t="s">
        <v>25</v>
      </c>
      <c r="C234" t="s">
        <v>14</v>
      </c>
      <c r="D234" t="s">
        <v>1940</v>
      </c>
      <c r="E234" s="3">
        <v>30</v>
      </c>
      <c r="F234" t="s">
        <v>1815</v>
      </c>
      <c r="G234" t="s">
        <v>1814</v>
      </c>
      <c r="H234" t="s">
        <v>19</v>
      </c>
      <c r="I234" s="1" t="s">
        <v>1272</v>
      </c>
      <c r="J234" s="7">
        <v>1</v>
      </c>
      <c r="K234" s="7">
        <v>2024</v>
      </c>
      <c r="L234" s="3">
        <v>116353.31</v>
      </c>
      <c r="M234" s="9" t="s">
        <v>1960</v>
      </c>
      <c r="N234" s="2" t="s">
        <v>1875</v>
      </c>
      <c r="O234" s="3">
        <v>1783099973</v>
      </c>
      <c r="P234" t="s">
        <v>27</v>
      </c>
      <c r="Q234">
        <v>1</v>
      </c>
      <c r="R234" t="s">
        <v>1962</v>
      </c>
    </row>
    <row r="235" spans="1:18" x14ac:dyDescent="0.35">
      <c r="A235" t="s">
        <v>264</v>
      </c>
      <c r="B235" t="s">
        <v>42</v>
      </c>
      <c r="C235" t="s">
        <v>14</v>
      </c>
      <c r="D235" t="s">
        <v>1936</v>
      </c>
      <c r="E235" s="3">
        <v>35</v>
      </c>
      <c r="F235" t="s">
        <v>1821</v>
      </c>
      <c r="G235" t="s">
        <v>1818</v>
      </c>
      <c r="H235" t="s">
        <v>19</v>
      </c>
      <c r="I235" s="1" t="s">
        <v>1273</v>
      </c>
      <c r="J235" s="7">
        <v>5</v>
      </c>
      <c r="K235" s="7">
        <v>2020</v>
      </c>
      <c r="L235" s="3">
        <v>116695.26</v>
      </c>
      <c r="M235" s="9" t="s">
        <v>1960</v>
      </c>
      <c r="N235" s="2" t="s">
        <v>1871</v>
      </c>
      <c r="O235" s="3">
        <v>1926764920</v>
      </c>
      <c r="P235" t="s">
        <v>20</v>
      </c>
      <c r="Q235">
        <v>3</v>
      </c>
      <c r="R235" t="s">
        <v>1963</v>
      </c>
    </row>
    <row r="236" spans="1:18" x14ac:dyDescent="0.35">
      <c r="A236" t="s">
        <v>265</v>
      </c>
      <c r="B236" t="s">
        <v>40</v>
      </c>
      <c r="C236" t="s">
        <v>14</v>
      </c>
      <c r="D236" t="s">
        <v>1953</v>
      </c>
      <c r="E236" s="3">
        <v>25</v>
      </c>
      <c r="F236" t="s">
        <v>1817</v>
      </c>
      <c r="G236" t="s">
        <v>1816</v>
      </c>
      <c r="H236" t="s">
        <v>11</v>
      </c>
      <c r="I236" s="1" t="s">
        <v>1274</v>
      </c>
      <c r="J236" s="7">
        <v>1</v>
      </c>
      <c r="K236" s="7">
        <v>2024</v>
      </c>
      <c r="L236" s="3">
        <v>95161.4</v>
      </c>
      <c r="M236" s="9" t="s">
        <v>1960</v>
      </c>
      <c r="N236" s="2" t="s">
        <v>1888</v>
      </c>
      <c r="O236" s="3">
        <v>5182606887</v>
      </c>
      <c r="P236" t="s">
        <v>15</v>
      </c>
      <c r="Q236">
        <v>4</v>
      </c>
      <c r="R236" t="s">
        <v>1963</v>
      </c>
    </row>
    <row r="237" spans="1:18" x14ac:dyDescent="0.35">
      <c r="A237" t="s">
        <v>266</v>
      </c>
      <c r="B237" t="s">
        <v>17</v>
      </c>
      <c r="C237" t="s">
        <v>14</v>
      </c>
      <c r="D237" t="s">
        <v>1907</v>
      </c>
      <c r="E237" s="3">
        <v>30</v>
      </c>
      <c r="F237" t="s">
        <v>1817</v>
      </c>
      <c r="G237" t="s">
        <v>1818</v>
      </c>
      <c r="H237" t="s">
        <v>23</v>
      </c>
      <c r="I237" s="1" t="s">
        <v>1275</v>
      </c>
      <c r="J237" s="7">
        <v>3</v>
      </c>
      <c r="K237" s="7">
        <v>2022</v>
      </c>
      <c r="L237" s="3">
        <v>76040.94</v>
      </c>
      <c r="M237" s="9" t="s">
        <v>1959</v>
      </c>
      <c r="N237" s="2" t="s">
        <v>1842</v>
      </c>
      <c r="O237" s="3">
        <v>7189813128</v>
      </c>
      <c r="P237" t="s">
        <v>20</v>
      </c>
      <c r="Q237">
        <v>3</v>
      </c>
      <c r="R237" t="s">
        <v>1962</v>
      </c>
    </row>
    <row r="238" spans="1:18" x14ac:dyDescent="0.35">
      <c r="A238" t="s">
        <v>267</v>
      </c>
      <c r="B238" t="s">
        <v>34</v>
      </c>
      <c r="C238" t="s">
        <v>50</v>
      </c>
      <c r="D238" t="s">
        <v>1954</v>
      </c>
      <c r="E238" s="3">
        <v>30</v>
      </c>
      <c r="F238" t="s">
        <v>1823</v>
      </c>
      <c r="G238" t="s">
        <v>1820</v>
      </c>
      <c r="H238" t="s">
        <v>23</v>
      </c>
      <c r="I238" s="1" t="s">
        <v>1276</v>
      </c>
      <c r="J238" s="7">
        <v>2</v>
      </c>
      <c r="K238" s="7">
        <v>2023</v>
      </c>
      <c r="L238" s="3">
        <v>69508.28</v>
      </c>
      <c r="M238" s="9" t="s">
        <v>1959</v>
      </c>
      <c r="N238" s="2" t="s">
        <v>1889</v>
      </c>
      <c r="O238" s="3">
        <v>2087510292</v>
      </c>
      <c r="P238" t="s">
        <v>20</v>
      </c>
      <c r="Q238">
        <v>3</v>
      </c>
      <c r="R238" t="s">
        <v>1963</v>
      </c>
    </row>
    <row r="239" spans="1:18" x14ac:dyDescent="0.35">
      <c r="A239" t="s">
        <v>268</v>
      </c>
      <c r="B239" t="s">
        <v>17</v>
      </c>
      <c r="C239" t="s">
        <v>50</v>
      </c>
      <c r="D239" t="s">
        <v>1929</v>
      </c>
      <c r="E239" s="3">
        <v>30</v>
      </c>
      <c r="F239" t="s">
        <v>1815</v>
      </c>
      <c r="G239" t="s">
        <v>1824</v>
      </c>
      <c r="H239" t="s">
        <v>23</v>
      </c>
      <c r="I239" s="1" t="s">
        <v>1277</v>
      </c>
      <c r="J239" s="7">
        <v>2</v>
      </c>
      <c r="K239" s="7">
        <v>2023</v>
      </c>
      <c r="L239" s="3">
        <v>58243.27</v>
      </c>
      <c r="M239" s="9" t="s">
        <v>1958</v>
      </c>
      <c r="N239" s="2" t="s">
        <v>1864</v>
      </c>
      <c r="O239" s="3">
        <v>2184011844</v>
      </c>
      <c r="P239" t="s">
        <v>12</v>
      </c>
      <c r="Q239">
        <v>2</v>
      </c>
      <c r="R239" t="s">
        <v>1963</v>
      </c>
    </row>
    <row r="240" spans="1:18" x14ac:dyDescent="0.35">
      <c r="A240" t="s">
        <v>269</v>
      </c>
      <c r="B240" t="s">
        <v>40</v>
      </c>
      <c r="C240" t="s">
        <v>26</v>
      </c>
      <c r="D240" t="s">
        <v>1904</v>
      </c>
      <c r="E240" s="3">
        <v>30</v>
      </c>
      <c r="F240" t="s">
        <v>1821</v>
      </c>
      <c r="G240" t="s">
        <v>1814</v>
      </c>
      <c r="H240" t="s">
        <v>19</v>
      </c>
      <c r="I240" s="1" t="s">
        <v>1278</v>
      </c>
      <c r="J240" s="7">
        <v>3</v>
      </c>
      <c r="K240" s="7">
        <v>2022</v>
      </c>
      <c r="L240" s="3">
        <v>64012.480000000003</v>
      </c>
      <c r="M240" s="9" t="s">
        <v>1959</v>
      </c>
      <c r="N240" s="2" t="s">
        <v>1839</v>
      </c>
      <c r="O240" s="3">
        <v>8260340847</v>
      </c>
      <c r="P240" t="s">
        <v>27</v>
      </c>
      <c r="Q240">
        <v>1</v>
      </c>
      <c r="R240" t="s">
        <v>1962</v>
      </c>
    </row>
    <row r="241" spans="1:18" x14ac:dyDescent="0.35">
      <c r="A241" t="s">
        <v>270</v>
      </c>
      <c r="B241" t="s">
        <v>9</v>
      </c>
      <c r="C241" t="s">
        <v>29</v>
      </c>
      <c r="D241" t="s">
        <v>1926</v>
      </c>
      <c r="E241" s="3">
        <v>40</v>
      </c>
      <c r="F241" t="s">
        <v>1817</v>
      </c>
      <c r="G241" t="s">
        <v>1818</v>
      </c>
      <c r="H241" t="s">
        <v>23</v>
      </c>
      <c r="I241" s="1" t="s">
        <v>1279</v>
      </c>
      <c r="J241" s="7">
        <v>5</v>
      </c>
      <c r="K241" s="7">
        <v>2020</v>
      </c>
      <c r="L241" s="3">
        <v>106735.93</v>
      </c>
      <c r="M241" s="9" t="s">
        <v>1960</v>
      </c>
      <c r="N241" s="2" t="s">
        <v>1861</v>
      </c>
      <c r="O241" s="3">
        <v>7297585987</v>
      </c>
      <c r="P241" t="s">
        <v>12</v>
      </c>
      <c r="Q241">
        <v>2</v>
      </c>
      <c r="R241" t="s">
        <v>1962</v>
      </c>
    </row>
    <row r="242" spans="1:18" x14ac:dyDescent="0.35">
      <c r="A242" t="s">
        <v>271</v>
      </c>
      <c r="B242" t="s">
        <v>25</v>
      </c>
      <c r="C242" t="s">
        <v>35</v>
      </c>
      <c r="D242" t="s">
        <v>1944</v>
      </c>
      <c r="E242" s="3">
        <v>35</v>
      </c>
      <c r="F242" t="s">
        <v>1813</v>
      </c>
      <c r="G242" t="s">
        <v>1816</v>
      </c>
      <c r="H242" t="s">
        <v>19</v>
      </c>
      <c r="I242" s="1" t="s">
        <v>1280</v>
      </c>
      <c r="J242" s="7">
        <v>2</v>
      </c>
      <c r="K242" s="7">
        <v>2023</v>
      </c>
      <c r="L242" s="3">
        <v>70325.36</v>
      </c>
      <c r="M242" s="9" t="s">
        <v>1959</v>
      </c>
      <c r="N242" s="2" t="s">
        <v>1879</v>
      </c>
      <c r="O242" s="3">
        <v>3103032431</v>
      </c>
      <c r="P242" t="s">
        <v>12</v>
      </c>
      <c r="Q242">
        <v>2</v>
      </c>
      <c r="R242" t="s">
        <v>1963</v>
      </c>
    </row>
    <row r="243" spans="1:18" x14ac:dyDescent="0.35">
      <c r="A243" t="s">
        <v>272</v>
      </c>
      <c r="B243" t="s">
        <v>34</v>
      </c>
      <c r="C243" t="s">
        <v>10</v>
      </c>
      <c r="D243" t="s">
        <v>1931</v>
      </c>
      <c r="E243" s="3">
        <v>30</v>
      </c>
      <c r="F243" t="s">
        <v>1823</v>
      </c>
      <c r="G243" t="s">
        <v>1824</v>
      </c>
      <c r="H243" t="s">
        <v>11</v>
      </c>
      <c r="I243" s="1" t="s">
        <v>1281</v>
      </c>
      <c r="J243" s="7">
        <v>5</v>
      </c>
      <c r="K243" s="7">
        <v>2020</v>
      </c>
      <c r="L243" s="3">
        <v>118959.28</v>
      </c>
      <c r="M243" s="9" t="s">
        <v>1960</v>
      </c>
      <c r="N243" s="2" t="s">
        <v>1866</v>
      </c>
      <c r="O243" s="3">
        <v>9839542960</v>
      </c>
      <c r="P243" t="s">
        <v>12</v>
      </c>
      <c r="Q243">
        <v>2</v>
      </c>
      <c r="R243" t="s">
        <v>1962</v>
      </c>
    </row>
    <row r="244" spans="1:18" x14ac:dyDescent="0.35">
      <c r="A244" t="s">
        <v>273</v>
      </c>
      <c r="B244" t="s">
        <v>37</v>
      </c>
      <c r="C244" t="s">
        <v>14</v>
      </c>
      <c r="D244" t="s">
        <v>1938</v>
      </c>
      <c r="E244" s="3">
        <v>40</v>
      </c>
      <c r="F244" t="s">
        <v>1819</v>
      </c>
      <c r="G244" t="s">
        <v>1814</v>
      </c>
      <c r="H244" t="s">
        <v>19</v>
      </c>
      <c r="I244" s="1" t="s">
        <v>1282</v>
      </c>
      <c r="J244" s="7">
        <v>2</v>
      </c>
      <c r="K244" s="7">
        <v>2023</v>
      </c>
      <c r="L244" s="3">
        <v>75823.78</v>
      </c>
      <c r="M244" s="9" t="s">
        <v>1959</v>
      </c>
      <c r="N244" s="2" t="s">
        <v>1873</v>
      </c>
      <c r="O244" s="3">
        <v>8446267145</v>
      </c>
      <c r="P244" t="s">
        <v>12</v>
      </c>
      <c r="Q244">
        <v>2</v>
      </c>
      <c r="R244" t="s">
        <v>1963</v>
      </c>
    </row>
    <row r="245" spans="1:18" x14ac:dyDescent="0.35">
      <c r="A245" t="s">
        <v>274</v>
      </c>
      <c r="B245" t="s">
        <v>34</v>
      </c>
      <c r="C245" t="s">
        <v>62</v>
      </c>
      <c r="D245" t="s">
        <v>1934</v>
      </c>
      <c r="E245" s="3">
        <v>30</v>
      </c>
      <c r="F245" t="s">
        <v>1819</v>
      </c>
      <c r="G245" t="s">
        <v>1816</v>
      </c>
      <c r="H245" t="s">
        <v>23</v>
      </c>
      <c r="I245" s="1" t="s">
        <v>1283</v>
      </c>
      <c r="J245" s="7">
        <v>3</v>
      </c>
      <c r="K245" s="7">
        <v>2022</v>
      </c>
      <c r="L245" s="3">
        <v>119971.65</v>
      </c>
      <c r="M245" s="9" t="s">
        <v>1960</v>
      </c>
      <c r="N245" s="2" t="s">
        <v>1869</v>
      </c>
      <c r="O245" s="3">
        <v>2831435988</v>
      </c>
      <c r="P245" t="s">
        <v>12</v>
      </c>
      <c r="Q245">
        <v>2</v>
      </c>
      <c r="R245" t="s">
        <v>1963</v>
      </c>
    </row>
    <row r="246" spans="1:18" x14ac:dyDescent="0.35">
      <c r="A246" t="s">
        <v>275</v>
      </c>
      <c r="B246" t="s">
        <v>42</v>
      </c>
      <c r="C246" t="s">
        <v>10</v>
      </c>
      <c r="D246" t="s">
        <v>1939</v>
      </c>
      <c r="E246" s="3">
        <v>40</v>
      </c>
      <c r="F246" t="s">
        <v>1821</v>
      </c>
      <c r="G246" t="s">
        <v>1816</v>
      </c>
      <c r="H246" t="s">
        <v>11</v>
      </c>
      <c r="I246" s="1" t="s">
        <v>1284</v>
      </c>
      <c r="J246" s="7">
        <v>4</v>
      </c>
      <c r="K246" s="7">
        <v>2021</v>
      </c>
      <c r="L246" s="3">
        <v>94963.7</v>
      </c>
      <c r="M246" s="9" t="s">
        <v>1960</v>
      </c>
      <c r="N246" s="2" t="s">
        <v>1874</v>
      </c>
      <c r="O246" s="3">
        <v>2625660930</v>
      </c>
      <c r="P246" t="s">
        <v>20</v>
      </c>
      <c r="Q246">
        <v>3</v>
      </c>
      <c r="R246" t="s">
        <v>1963</v>
      </c>
    </row>
    <row r="247" spans="1:18" x14ac:dyDescent="0.35">
      <c r="A247" t="s">
        <v>276</v>
      </c>
      <c r="B247" t="s">
        <v>25</v>
      </c>
      <c r="C247" t="s">
        <v>50</v>
      </c>
      <c r="D247" t="s">
        <v>1914</v>
      </c>
      <c r="E247" s="3">
        <v>30</v>
      </c>
      <c r="F247" t="s">
        <v>1821</v>
      </c>
      <c r="G247" t="s">
        <v>1818</v>
      </c>
      <c r="H247" t="s">
        <v>19</v>
      </c>
      <c r="I247" s="1" t="s">
        <v>1285</v>
      </c>
      <c r="J247" s="7">
        <v>4</v>
      </c>
      <c r="K247" s="7">
        <v>2021</v>
      </c>
      <c r="L247" s="3">
        <v>103744.71</v>
      </c>
      <c r="M247" s="9" t="s">
        <v>1960</v>
      </c>
      <c r="N247" s="2" t="s">
        <v>1849</v>
      </c>
      <c r="O247" s="3">
        <v>4181861514</v>
      </c>
      <c r="P247" t="s">
        <v>12</v>
      </c>
      <c r="Q247">
        <v>2</v>
      </c>
      <c r="R247" t="s">
        <v>1963</v>
      </c>
    </row>
    <row r="248" spans="1:18" x14ac:dyDescent="0.35">
      <c r="A248" t="s">
        <v>277</v>
      </c>
      <c r="B248" t="s">
        <v>17</v>
      </c>
      <c r="C248" t="s">
        <v>62</v>
      </c>
      <c r="D248" t="s">
        <v>1933</v>
      </c>
      <c r="E248" s="3">
        <v>25</v>
      </c>
      <c r="F248" t="s">
        <v>1821</v>
      </c>
      <c r="G248" t="s">
        <v>1822</v>
      </c>
      <c r="H248" t="s">
        <v>23</v>
      </c>
      <c r="I248" s="1" t="s">
        <v>1286</v>
      </c>
      <c r="J248" s="7">
        <v>5</v>
      </c>
      <c r="K248" s="7">
        <v>2020</v>
      </c>
      <c r="L248" s="3">
        <v>61337.69</v>
      </c>
      <c r="M248" s="9" t="s">
        <v>1959</v>
      </c>
      <c r="N248" s="2" t="s">
        <v>1868</v>
      </c>
      <c r="O248" s="3">
        <v>5423401635</v>
      </c>
      <c r="P248" t="s">
        <v>12</v>
      </c>
      <c r="Q248">
        <v>2</v>
      </c>
      <c r="R248" t="s">
        <v>1962</v>
      </c>
    </row>
    <row r="249" spans="1:18" x14ac:dyDescent="0.35">
      <c r="A249" t="s">
        <v>278</v>
      </c>
      <c r="B249" t="s">
        <v>37</v>
      </c>
      <c r="C249" t="s">
        <v>62</v>
      </c>
      <c r="D249" t="s">
        <v>1949</v>
      </c>
      <c r="E249" s="3">
        <v>35</v>
      </c>
      <c r="F249" t="s">
        <v>1821</v>
      </c>
      <c r="G249" t="s">
        <v>1814</v>
      </c>
      <c r="H249" t="s">
        <v>11</v>
      </c>
      <c r="I249" s="1" t="s">
        <v>1287</v>
      </c>
      <c r="J249" s="7">
        <v>4</v>
      </c>
      <c r="K249" s="7">
        <v>2021</v>
      </c>
      <c r="L249" s="3">
        <v>63741.13</v>
      </c>
      <c r="M249" s="9" t="s">
        <v>1959</v>
      </c>
      <c r="N249" s="2" t="s">
        <v>1884</v>
      </c>
      <c r="O249" s="3">
        <v>1128497184</v>
      </c>
      <c r="P249" t="s">
        <v>27</v>
      </c>
      <c r="Q249">
        <v>1</v>
      </c>
      <c r="R249" t="s">
        <v>1962</v>
      </c>
    </row>
    <row r="250" spans="1:18" x14ac:dyDescent="0.35">
      <c r="A250" t="s">
        <v>279</v>
      </c>
      <c r="B250" t="s">
        <v>22</v>
      </c>
      <c r="C250" t="s">
        <v>62</v>
      </c>
      <c r="D250" t="s">
        <v>1955</v>
      </c>
      <c r="E250" s="3">
        <v>30</v>
      </c>
      <c r="F250" t="s">
        <v>1813</v>
      </c>
      <c r="G250" t="s">
        <v>1814</v>
      </c>
      <c r="H250" t="s">
        <v>19</v>
      </c>
      <c r="I250" s="1" t="s">
        <v>1288</v>
      </c>
      <c r="J250" s="7">
        <v>2</v>
      </c>
      <c r="K250" s="7">
        <v>2022</v>
      </c>
      <c r="L250" s="3">
        <v>56539.99</v>
      </c>
      <c r="M250" s="9" t="s">
        <v>1958</v>
      </c>
      <c r="N250" s="2" t="s">
        <v>1890</v>
      </c>
      <c r="O250" s="3">
        <v>9484910255</v>
      </c>
      <c r="P250" t="s">
        <v>15</v>
      </c>
      <c r="Q250">
        <v>4</v>
      </c>
      <c r="R250" t="s">
        <v>1962</v>
      </c>
    </row>
    <row r="251" spans="1:18" x14ac:dyDescent="0.35">
      <c r="A251" t="s">
        <v>280</v>
      </c>
      <c r="B251" t="s">
        <v>34</v>
      </c>
      <c r="C251" t="s">
        <v>26</v>
      </c>
      <c r="D251" t="s">
        <v>1910</v>
      </c>
      <c r="E251" s="3">
        <v>30</v>
      </c>
      <c r="F251" t="s">
        <v>1813</v>
      </c>
      <c r="G251" t="s">
        <v>1824</v>
      </c>
      <c r="H251" t="s">
        <v>19</v>
      </c>
      <c r="I251" s="1" t="s">
        <v>1289</v>
      </c>
      <c r="J251" s="7">
        <v>2</v>
      </c>
      <c r="K251" s="7">
        <v>2023</v>
      </c>
      <c r="L251" s="3">
        <v>73633.37</v>
      </c>
      <c r="M251" s="9" t="s">
        <v>1959</v>
      </c>
      <c r="N251" s="2" t="s">
        <v>1845</v>
      </c>
      <c r="O251" s="3">
        <v>2588967923</v>
      </c>
      <c r="P251" t="s">
        <v>20</v>
      </c>
      <c r="Q251">
        <v>3</v>
      </c>
      <c r="R251" t="s">
        <v>1962</v>
      </c>
    </row>
    <row r="252" spans="1:18" x14ac:dyDescent="0.35">
      <c r="A252" t="s">
        <v>281</v>
      </c>
      <c r="B252" t="s">
        <v>17</v>
      </c>
      <c r="C252" t="s">
        <v>50</v>
      </c>
      <c r="D252" t="s">
        <v>1929</v>
      </c>
      <c r="E252" s="3">
        <v>25</v>
      </c>
      <c r="F252" t="s">
        <v>1819</v>
      </c>
      <c r="G252" t="s">
        <v>1816</v>
      </c>
      <c r="H252" t="s">
        <v>19</v>
      </c>
      <c r="I252" s="1" t="s">
        <v>1290</v>
      </c>
      <c r="J252" s="7">
        <v>1</v>
      </c>
      <c r="K252" s="7">
        <v>2024</v>
      </c>
      <c r="L252" s="3">
        <v>90373.99</v>
      </c>
      <c r="M252" s="9" t="s">
        <v>1960</v>
      </c>
      <c r="N252" s="2" t="s">
        <v>1864</v>
      </c>
      <c r="O252" s="3">
        <v>822269404</v>
      </c>
      <c r="P252" t="s">
        <v>20</v>
      </c>
      <c r="Q252">
        <v>3</v>
      </c>
      <c r="R252" t="s">
        <v>1963</v>
      </c>
    </row>
    <row r="253" spans="1:18" x14ac:dyDescent="0.35">
      <c r="A253" t="s">
        <v>282</v>
      </c>
      <c r="B253" t="s">
        <v>42</v>
      </c>
      <c r="C253" t="s">
        <v>62</v>
      </c>
      <c r="D253" t="s">
        <v>1921</v>
      </c>
      <c r="E253" s="3">
        <v>30</v>
      </c>
      <c r="F253" t="s">
        <v>1813</v>
      </c>
      <c r="G253" t="s">
        <v>1816</v>
      </c>
      <c r="H253" t="s">
        <v>23</v>
      </c>
      <c r="I253" s="1" t="s">
        <v>1291</v>
      </c>
      <c r="J253" s="7">
        <v>0</v>
      </c>
      <c r="K253" s="7">
        <v>2024</v>
      </c>
      <c r="L253" s="3">
        <v>93901.48</v>
      </c>
      <c r="M253" s="9" t="s">
        <v>1960</v>
      </c>
      <c r="N253" s="2" t="s">
        <v>1856</v>
      </c>
      <c r="O253" s="3">
        <v>3967275783</v>
      </c>
      <c r="P253" t="s">
        <v>20</v>
      </c>
      <c r="Q253">
        <v>3</v>
      </c>
      <c r="R253" t="s">
        <v>1963</v>
      </c>
    </row>
    <row r="254" spans="1:18" x14ac:dyDescent="0.35">
      <c r="A254" t="s">
        <v>283</v>
      </c>
      <c r="B254" t="s">
        <v>22</v>
      </c>
      <c r="C254" t="s">
        <v>14</v>
      </c>
      <c r="D254" t="s">
        <v>1927</v>
      </c>
      <c r="E254" s="3">
        <v>40</v>
      </c>
      <c r="F254" t="s">
        <v>1817</v>
      </c>
      <c r="G254" t="s">
        <v>1818</v>
      </c>
      <c r="H254" t="s">
        <v>23</v>
      </c>
      <c r="I254" s="1" t="s">
        <v>1292</v>
      </c>
      <c r="J254" s="7">
        <v>4</v>
      </c>
      <c r="K254" s="7">
        <v>2021</v>
      </c>
      <c r="L254" s="3">
        <v>81748.09</v>
      </c>
      <c r="M254" s="9" t="s">
        <v>1959</v>
      </c>
      <c r="N254" s="2" t="s">
        <v>1862</v>
      </c>
      <c r="O254" s="3">
        <v>4683414650</v>
      </c>
      <c r="P254" t="s">
        <v>12</v>
      </c>
      <c r="Q254">
        <v>2</v>
      </c>
      <c r="R254" t="s">
        <v>1962</v>
      </c>
    </row>
    <row r="255" spans="1:18" x14ac:dyDescent="0.35">
      <c r="A255" t="s">
        <v>284</v>
      </c>
      <c r="B255" t="s">
        <v>34</v>
      </c>
      <c r="C255" t="s">
        <v>18</v>
      </c>
      <c r="D255" t="s">
        <v>1916</v>
      </c>
      <c r="E255" s="3">
        <v>40</v>
      </c>
      <c r="F255" t="s">
        <v>1815</v>
      </c>
      <c r="G255" t="s">
        <v>1820</v>
      </c>
      <c r="H255" t="s">
        <v>23</v>
      </c>
      <c r="I255" s="1" t="s">
        <v>1293</v>
      </c>
      <c r="J255" s="7">
        <v>4</v>
      </c>
      <c r="K255" s="7">
        <v>2021</v>
      </c>
      <c r="L255" s="3">
        <v>73813.48</v>
      </c>
      <c r="M255" s="9" t="s">
        <v>1959</v>
      </c>
      <c r="N255" s="2" t="s">
        <v>1851</v>
      </c>
      <c r="O255" s="3">
        <v>1131290147</v>
      </c>
      <c r="P255" t="s">
        <v>12</v>
      </c>
      <c r="Q255">
        <v>2</v>
      </c>
      <c r="R255" t="s">
        <v>1963</v>
      </c>
    </row>
    <row r="256" spans="1:18" x14ac:dyDescent="0.35">
      <c r="A256" t="s">
        <v>285</v>
      </c>
      <c r="B256" t="s">
        <v>25</v>
      </c>
      <c r="C256" t="s">
        <v>62</v>
      </c>
      <c r="D256" t="s">
        <v>1922</v>
      </c>
      <c r="E256" s="3">
        <v>35</v>
      </c>
      <c r="F256" t="s">
        <v>1815</v>
      </c>
      <c r="G256" t="s">
        <v>1822</v>
      </c>
      <c r="H256" t="s">
        <v>23</v>
      </c>
      <c r="I256" s="1" t="s">
        <v>1294</v>
      </c>
      <c r="J256" s="7">
        <v>3</v>
      </c>
      <c r="K256" s="7">
        <v>2022</v>
      </c>
      <c r="L256" s="3">
        <v>89315.59</v>
      </c>
      <c r="M256" s="9" t="s">
        <v>1960</v>
      </c>
      <c r="N256" s="2" t="s">
        <v>1857</v>
      </c>
      <c r="O256" s="3">
        <v>7068277880</v>
      </c>
      <c r="P256" t="s">
        <v>12</v>
      </c>
      <c r="Q256">
        <v>2</v>
      </c>
      <c r="R256" t="s">
        <v>1963</v>
      </c>
    </row>
    <row r="257" spans="1:18" x14ac:dyDescent="0.35">
      <c r="A257" t="s">
        <v>286</v>
      </c>
      <c r="B257" t="s">
        <v>40</v>
      </c>
      <c r="C257" t="s">
        <v>26</v>
      </c>
      <c r="D257" t="s">
        <v>1904</v>
      </c>
      <c r="E257" s="3">
        <v>25</v>
      </c>
      <c r="F257" t="s">
        <v>1823</v>
      </c>
      <c r="G257" t="s">
        <v>1820</v>
      </c>
      <c r="H257" t="s">
        <v>11</v>
      </c>
      <c r="I257" s="1" t="s">
        <v>1193</v>
      </c>
      <c r="J257" s="7">
        <v>5</v>
      </c>
      <c r="K257" s="7">
        <v>2020</v>
      </c>
      <c r="L257" s="3">
        <v>56776.82</v>
      </c>
      <c r="M257" s="9" t="s">
        <v>1958</v>
      </c>
      <c r="N257" s="2" t="s">
        <v>1839</v>
      </c>
      <c r="O257" s="3">
        <v>6093068537</v>
      </c>
      <c r="P257" t="s">
        <v>27</v>
      </c>
      <c r="Q257">
        <v>1</v>
      </c>
      <c r="R257" t="s">
        <v>1963</v>
      </c>
    </row>
    <row r="258" spans="1:18" x14ac:dyDescent="0.35">
      <c r="A258" t="s">
        <v>287</v>
      </c>
      <c r="B258" t="s">
        <v>42</v>
      </c>
      <c r="C258" t="s">
        <v>10</v>
      </c>
      <c r="D258" t="s">
        <v>1939</v>
      </c>
      <c r="E258" s="3">
        <v>30</v>
      </c>
      <c r="F258" t="s">
        <v>1815</v>
      </c>
      <c r="G258" t="s">
        <v>1822</v>
      </c>
      <c r="H258" t="s">
        <v>11</v>
      </c>
      <c r="I258" s="1" t="s">
        <v>1295</v>
      </c>
      <c r="J258" s="7">
        <v>1</v>
      </c>
      <c r="K258" s="7">
        <v>2024</v>
      </c>
      <c r="L258" s="3">
        <v>72920.509999999995</v>
      </c>
      <c r="M258" s="9" t="s">
        <v>1959</v>
      </c>
      <c r="N258" s="2" t="s">
        <v>1874</v>
      </c>
      <c r="O258" s="3">
        <v>9097283214</v>
      </c>
      <c r="P258" t="s">
        <v>15</v>
      </c>
      <c r="Q258">
        <v>4</v>
      </c>
      <c r="R258" t="s">
        <v>1962</v>
      </c>
    </row>
    <row r="259" spans="1:18" x14ac:dyDescent="0.35">
      <c r="A259" t="s">
        <v>288</v>
      </c>
      <c r="B259" t="s">
        <v>25</v>
      </c>
      <c r="C259" t="s">
        <v>50</v>
      </c>
      <c r="D259" t="s">
        <v>1914</v>
      </c>
      <c r="E259" s="3">
        <v>30</v>
      </c>
      <c r="F259" t="s">
        <v>1817</v>
      </c>
      <c r="G259" t="s">
        <v>1820</v>
      </c>
      <c r="H259" t="s">
        <v>19</v>
      </c>
      <c r="I259" s="1" t="s">
        <v>1296</v>
      </c>
      <c r="J259" s="7">
        <v>3</v>
      </c>
      <c r="K259" s="7">
        <v>2022</v>
      </c>
      <c r="L259" s="3">
        <v>84913.18</v>
      </c>
      <c r="M259" s="9" t="s">
        <v>1959</v>
      </c>
      <c r="N259" s="2" t="s">
        <v>1849</v>
      </c>
      <c r="O259" s="3">
        <v>2850676250</v>
      </c>
      <c r="P259" t="s">
        <v>12</v>
      </c>
      <c r="Q259">
        <v>2</v>
      </c>
      <c r="R259" t="s">
        <v>1962</v>
      </c>
    </row>
    <row r="260" spans="1:18" x14ac:dyDescent="0.35">
      <c r="A260" t="s">
        <v>289</v>
      </c>
      <c r="B260" t="s">
        <v>17</v>
      </c>
      <c r="C260" t="s">
        <v>29</v>
      </c>
      <c r="D260" t="s">
        <v>1897</v>
      </c>
      <c r="E260" s="3">
        <v>25</v>
      </c>
      <c r="F260" t="s">
        <v>1815</v>
      </c>
      <c r="G260" t="s">
        <v>1824</v>
      </c>
      <c r="H260" t="s">
        <v>23</v>
      </c>
      <c r="I260" s="1" t="s">
        <v>1071</v>
      </c>
      <c r="J260" s="7">
        <v>4</v>
      </c>
      <c r="K260" s="7">
        <v>2021</v>
      </c>
      <c r="L260" s="3">
        <v>65060.11</v>
      </c>
      <c r="M260" s="9" t="s">
        <v>1959</v>
      </c>
      <c r="N260" s="2" t="s">
        <v>1832</v>
      </c>
      <c r="O260" s="3">
        <v>5381447442</v>
      </c>
      <c r="P260" t="s">
        <v>15</v>
      </c>
      <c r="Q260">
        <v>4</v>
      </c>
      <c r="R260" t="s">
        <v>1962</v>
      </c>
    </row>
    <row r="261" spans="1:18" x14ac:dyDescent="0.35">
      <c r="A261" t="s">
        <v>290</v>
      </c>
      <c r="B261" t="s">
        <v>17</v>
      </c>
      <c r="C261" t="s">
        <v>26</v>
      </c>
      <c r="D261" t="s">
        <v>1950</v>
      </c>
      <c r="E261" s="3">
        <v>35</v>
      </c>
      <c r="F261" t="s">
        <v>1815</v>
      </c>
      <c r="G261" t="s">
        <v>1824</v>
      </c>
      <c r="H261" t="s">
        <v>19</v>
      </c>
      <c r="I261" s="1" t="s">
        <v>1297</v>
      </c>
      <c r="J261" s="7">
        <v>2</v>
      </c>
      <c r="K261" s="7">
        <v>2023</v>
      </c>
      <c r="L261" s="3">
        <v>82941.08</v>
      </c>
      <c r="M261" s="9" t="s">
        <v>1959</v>
      </c>
      <c r="N261" s="2" t="s">
        <v>1885</v>
      </c>
      <c r="O261" s="3">
        <v>963480796</v>
      </c>
      <c r="P261" t="s">
        <v>27</v>
      </c>
      <c r="Q261">
        <v>1</v>
      </c>
      <c r="R261" t="s">
        <v>1963</v>
      </c>
    </row>
    <row r="262" spans="1:18" x14ac:dyDescent="0.35">
      <c r="A262" t="s">
        <v>291</v>
      </c>
      <c r="B262" t="s">
        <v>9</v>
      </c>
      <c r="C262" t="s">
        <v>62</v>
      </c>
      <c r="D262" t="s">
        <v>1917</v>
      </c>
      <c r="E262" s="3">
        <v>40</v>
      </c>
      <c r="F262" t="s">
        <v>1817</v>
      </c>
      <c r="G262" t="s">
        <v>1814</v>
      </c>
      <c r="H262" t="s">
        <v>19</v>
      </c>
      <c r="I262" s="1" t="s">
        <v>1298</v>
      </c>
      <c r="J262" s="7">
        <v>3</v>
      </c>
      <c r="K262" s="7">
        <v>2022</v>
      </c>
      <c r="L262" s="3">
        <v>103469.97</v>
      </c>
      <c r="M262" s="9" t="s">
        <v>1960</v>
      </c>
      <c r="N262" s="2" t="s">
        <v>1852</v>
      </c>
      <c r="O262" s="3">
        <v>509754509</v>
      </c>
      <c r="P262" t="s">
        <v>20</v>
      </c>
      <c r="Q262">
        <v>3</v>
      </c>
      <c r="R262" t="s">
        <v>1962</v>
      </c>
    </row>
    <row r="263" spans="1:18" x14ac:dyDescent="0.35">
      <c r="A263" t="s">
        <v>292</v>
      </c>
      <c r="B263" t="s">
        <v>42</v>
      </c>
      <c r="C263" t="s">
        <v>50</v>
      </c>
      <c r="D263" t="s">
        <v>1930</v>
      </c>
      <c r="E263" s="3">
        <v>25</v>
      </c>
      <c r="F263" t="s">
        <v>1821</v>
      </c>
      <c r="G263" t="s">
        <v>1824</v>
      </c>
      <c r="H263" t="s">
        <v>11</v>
      </c>
      <c r="I263" s="1" t="s">
        <v>1299</v>
      </c>
      <c r="J263" s="7">
        <v>2</v>
      </c>
      <c r="K263" s="7">
        <v>2022</v>
      </c>
      <c r="L263" s="3">
        <v>88725.6</v>
      </c>
      <c r="M263" s="9" t="s">
        <v>1960</v>
      </c>
      <c r="N263" s="2" t="s">
        <v>1865</v>
      </c>
      <c r="O263" s="3">
        <v>5265016730</v>
      </c>
      <c r="P263" t="s">
        <v>12</v>
      </c>
      <c r="Q263">
        <v>2</v>
      </c>
      <c r="R263" t="s">
        <v>1962</v>
      </c>
    </row>
    <row r="264" spans="1:18" x14ac:dyDescent="0.35">
      <c r="A264" t="s">
        <v>293</v>
      </c>
      <c r="B264" t="s">
        <v>40</v>
      </c>
      <c r="C264" t="s">
        <v>18</v>
      </c>
      <c r="D264" t="s">
        <v>1947</v>
      </c>
      <c r="E264" s="3">
        <v>30</v>
      </c>
      <c r="F264" t="s">
        <v>1823</v>
      </c>
      <c r="G264" t="s">
        <v>1824</v>
      </c>
      <c r="H264" t="s">
        <v>19</v>
      </c>
      <c r="I264" s="1" t="s">
        <v>1300</v>
      </c>
      <c r="J264" s="7">
        <v>2</v>
      </c>
      <c r="K264" s="7">
        <v>2023</v>
      </c>
      <c r="L264" s="3">
        <v>58316.77</v>
      </c>
      <c r="M264" s="9" t="s">
        <v>1958</v>
      </c>
      <c r="N264" s="2" t="s">
        <v>1882</v>
      </c>
      <c r="O264" s="3">
        <v>8826170242</v>
      </c>
      <c r="P264" t="s">
        <v>15</v>
      </c>
      <c r="Q264">
        <v>4</v>
      </c>
      <c r="R264" t="s">
        <v>1962</v>
      </c>
    </row>
    <row r="265" spans="1:18" x14ac:dyDescent="0.35">
      <c r="A265" t="s">
        <v>294</v>
      </c>
      <c r="B265" t="s">
        <v>42</v>
      </c>
      <c r="C265" t="s">
        <v>62</v>
      </c>
      <c r="D265" t="s">
        <v>1921</v>
      </c>
      <c r="E265" s="3">
        <v>35</v>
      </c>
      <c r="F265" t="s">
        <v>1823</v>
      </c>
      <c r="G265" t="s">
        <v>1824</v>
      </c>
      <c r="H265" t="s">
        <v>23</v>
      </c>
      <c r="I265" s="1" t="s">
        <v>1301</v>
      </c>
      <c r="J265" s="7">
        <v>1</v>
      </c>
      <c r="K265" s="7">
        <v>2024</v>
      </c>
      <c r="L265" s="3">
        <v>60098.720000000001</v>
      </c>
      <c r="M265" s="9" t="s">
        <v>1959</v>
      </c>
      <c r="N265" s="2" t="s">
        <v>1856</v>
      </c>
      <c r="O265" s="3">
        <v>7654562840</v>
      </c>
      <c r="P265" t="s">
        <v>15</v>
      </c>
      <c r="Q265">
        <v>4</v>
      </c>
      <c r="R265" t="s">
        <v>1962</v>
      </c>
    </row>
    <row r="266" spans="1:18" x14ac:dyDescent="0.35">
      <c r="A266" t="s">
        <v>295</v>
      </c>
      <c r="B266" t="s">
        <v>42</v>
      </c>
      <c r="C266" t="s">
        <v>26</v>
      </c>
      <c r="D266" t="s">
        <v>1905</v>
      </c>
      <c r="E266" s="3">
        <v>30</v>
      </c>
      <c r="F266" t="s">
        <v>1819</v>
      </c>
      <c r="G266" t="s">
        <v>1816</v>
      </c>
      <c r="H266" t="s">
        <v>11</v>
      </c>
      <c r="I266" s="1" t="s">
        <v>1302</v>
      </c>
      <c r="J266" s="7">
        <v>5</v>
      </c>
      <c r="K266" s="7">
        <v>2020</v>
      </c>
      <c r="L266" s="3">
        <v>99951.43</v>
      </c>
      <c r="M266" s="9" t="s">
        <v>1960</v>
      </c>
      <c r="N266" s="2" t="s">
        <v>1840</v>
      </c>
      <c r="O266" s="3">
        <v>7722560530</v>
      </c>
      <c r="P266" t="s">
        <v>12</v>
      </c>
      <c r="Q266">
        <v>2</v>
      </c>
      <c r="R266" t="s">
        <v>1962</v>
      </c>
    </row>
    <row r="267" spans="1:18" x14ac:dyDescent="0.35">
      <c r="A267" t="s">
        <v>296</v>
      </c>
      <c r="B267" t="s">
        <v>40</v>
      </c>
      <c r="C267" t="s">
        <v>35</v>
      </c>
      <c r="D267" t="s">
        <v>1915</v>
      </c>
      <c r="E267" s="3">
        <v>30</v>
      </c>
      <c r="F267" t="s">
        <v>1821</v>
      </c>
      <c r="G267" t="s">
        <v>1824</v>
      </c>
      <c r="H267" t="s">
        <v>11</v>
      </c>
      <c r="I267" s="1" t="s">
        <v>1303</v>
      </c>
      <c r="J267" s="7">
        <v>4</v>
      </c>
      <c r="K267" s="7">
        <v>2021</v>
      </c>
      <c r="L267" s="3">
        <v>115195.81</v>
      </c>
      <c r="M267" s="9" t="s">
        <v>1960</v>
      </c>
      <c r="N267" s="2" t="s">
        <v>1850</v>
      </c>
      <c r="O267" s="3">
        <v>3402665022</v>
      </c>
      <c r="P267" t="s">
        <v>20</v>
      </c>
      <c r="Q267">
        <v>3</v>
      </c>
      <c r="R267" t="s">
        <v>1962</v>
      </c>
    </row>
    <row r="268" spans="1:18" x14ac:dyDescent="0.35">
      <c r="A268" t="s">
        <v>297</v>
      </c>
      <c r="B268" t="s">
        <v>42</v>
      </c>
      <c r="C268" t="s">
        <v>14</v>
      </c>
      <c r="D268" t="s">
        <v>1936</v>
      </c>
      <c r="E268" s="3">
        <v>30</v>
      </c>
      <c r="F268" t="s">
        <v>1813</v>
      </c>
      <c r="G268" t="s">
        <v>1814</v>
      </c>
      <c r="H268" t="s">
        <v>19</v>
      </c>
      <c r="I268" s="1" t="s">
        <v>1304</v>
      </c>
      <c r="J268" s="7">
        <v>4</v>
      </c>
      <c r="K268" s="7">
        <v>2021</v>
      </c>
      <c r="L268" s="3">
        <v>85512.05</v>
      </c>
      <c r="M268" s="9" t="s">
        <v>1960</v>
      </c>
      <c r="N268" s="2" t="s">
        <v>1871</v>
      </c>
      <c r="O268" s="3">
        <v>7416787255</v>
      </c>
      <c r="P268" t="s">
        <v>20</v>
      </c>
      <c r="Q268">
        <v>3</v>
      </c>
      <c r="R268" t="s">
        <v>1963</v>
      </c>
    </row>
    <row r="269" spans="1:18" x14ac:dyDescent="0.35">
      <c r="A269" t="s">
        <v>298</v>
      </c>
      <c r="B269" t="s">
        <v>40</v>
      </c>
      <c r="C269" t="s">
        <v>29</v>
      </c>
      <c r="D269" t="s">
        <v>1942</v>
      </c>
      <c r="E269" s="3">
        <v>30</v>
      </c>
      <c r="F269" t="s">
        <v>1823</v>
      </c>
      <c r="G269" t="s">
        <v>1820</v>
      </c>
      <c r="H269" t="s">
        <v>11</v>
      </c>
      <c r="I269" s="1" t="s">
        <v>1305</v>
      </c>
      <c r="J269" s="7">
        <v>3</v>
      </c>
      <c r="K269" s="7">
        <v>2022</v>
      </c>
      <c r="L269" s="3">
        <v>73186.77</v>
      </c>
      <c r="M269" s="9" t="s">
        <v>1959</v>
      </c>
      <c r="N269" s="2" t="s">
        <v>1877</v>
      </c>
      <c r="O269" s="3">
        <v>8621102257</v>
      </c>
      <c r="P269" t="s">
        <v>20</v>
      </c>
      <c r="Q269">
        <v>3</v>
      </c>
      <c r="R269" t="s">
        <v>1963</v>
      </c>
    </row>
    <row r="270" spans="1:18" x14ac:dyDescent="0.35">
      <c r="A270" t="s">
        <v>299</v>
      </c>
      <c r="B270" t="s">
        <v>42</v>
      </c>
      <c r="C270" t="s">
        <v>10</v>
      </c>
      <c r="D270" t="s">
        <v>1939</v>
      </c>
      <c r="E270" s="3">
        <v>30</v>
      </c>
      <c r="F270" t="s">
        <v>1823</v>
      </c>
      <c r="G270" t="s">
        <v>1818</v>
      </c>
      <c r="H270" t="s">
        <v>19</v>
      </c>
      <c r="I270" s="1" t="s">
        <v>1306</v>
      </c>
      <c r="J270" s="7">
        <v>1</v>
      </c>
      <c r="K270" s="7">
        <v>2023</v>
      </c>
      <c r="L270" s="3">
        <v>51865.3</v>
      </c>
      <c r="M270" s="9" t="s">
        <v>1958</v>
      </c>
      <c r="N270" s="2" t="s">
        <v>1874</v>
      </c>
      <c r="O270" s="3">
        <v>305690673</v>
      </c>
      <c r="P270" t="s">
        <v>27</v>
      </c>
      <c r="Q270">
        <v>1</v>
      </c>
      <c r="R270" t="s">
        <v>1962</v>
      </c>
    </row>
    <row r="271" spans="1:18" x14ac:dyDescent="0.35">
      <c r="A271" t="s">
        <v>300</v>
      </c>
      <c r="B271" t="s">
        <v>37</v>
      </c>
      <c r="C271" t="s">
        <v>26</v>
      </c>
      <c r="D271" t="s">
        <v>1902</v>
      </c>
      <c r="E271" s="3">
        <v>25</v>
      </c>
      <c r="F271" t="s">
        <v>1821</v>
      </c>
      <c r="G271" t="s">
        <v>1820</v>
      </c>
      <c r="H271" t="s">
        <v>11</v>
      </c>
      <c r="I271" s="1" t="s">
        <v>1307</v>
      </c>
      <c r="J271" s="7">
        <v>3</v>
      </c>
      <c r="K271" s="7">
        <v>2022</v>
      </c>
      <c r="L271" s="3">
        <v>94031.77</v>
      </c>
      <c r="M271" s="9" t="s">
        <v>1960</v>
      </c>
      <c r="N271" s="2" t="s">
        <v>1837</v>
      </c>
      <c r="O271" s="3">
        <v>4716392822</v>
      </c>
      <c r="P271" t="s">
        <v>15</v>
      </c>
      <c r="Q271">
        <v>4</v>
      </c>
      <c r="R271" t="s">
        <v>1962</v>
      </c>
    </row>
    <row r="272" spans="1:18" x14ac:dyDescent="0.35">
      <c r="A272" t="s">
        <v>301</v>
      </c>
      <c r="B272" t="s">
        <v>42</v>
      </c>
      <c r="C272" t="s">
        <v>50</v>
      </c>
      <c r="D272" t="s">
        <v>1930</v>
      </c>
      <c r="E272" s="3">
        <v>30</v>
      </c>
      <c r="F272" t="s">
        <v>1813</v>
      </c>
      <c r="G272" t="s">
        <v>1822</v>
      </c>
      <c r="H272" t="s">
        <v>11</v>
      </c>
      <c r="I272" s="1" t="s">
        <v>1282</v>
      </c>
      <c r="J272" s="7">
        <v>2</v>
      </c>
      <c r="K272" s="7">
        <v>2023</v>
      </c>
      <c r="L272" s="3">
        <v>116374.36</v>
      </c>
      <c r="M272" s="9" t="s">
        <v>1960</v>
      </c>
      <c r="N272" s="2" t="s">
        <v>1865</v>
      </c>
      <c r="O272" s="3">
        <v>4143637188</v>
      </c>
      <c r="P272" t="s">
        <v>15</v>
      </c>
      <c r="Q272">
        <v>4</v>
      </c>
      <c r="R272" t="s">
        <v>1963</v>
      </c>
    </row>
    <row r="273" spans="1:18" x14ac:dyDescent="0.35">
      <c r="A273" t="s">
        <v>302</v>
      </c>
      <c r="B273" t="s">
        <v>17</v>
      </c>
      <c r="C273" t="s">
        <v>29</v>
      </c>
      <c r="D273" t="s">
        <v>1897</v>
      </c>
      <c r="E273" s="3">
        <v>40</v>
      </c>
      <c r="F273" t="s">
        <v>1823</v>
      </c>
      <c r="G273" t="s">
        <v>1820</v>
      </c>
      <c r="H273" t="s">
        <v>11</v>
      </c>
      <c r="I273" s="1" t="s">
        <v>1308</v>
      </c>
      <c r="J273" s="7">
        <v>3</v>
      </c>
      <c r="K273" s="7">
        <v>2022</v>
      </c>
      <c r="L273" s="3">
        <v>98335.02</v>
      </c>
      <c r="M273" s="9" t="s">
        <v>1960</v>
      </c>
      <c r="N273" s="2" t="s">
        <v>1832</v>
      </c>
      <c r="O273" s="3">
        <v>2392312603</v>
      </c>
      <c r="P273" t="s">
        <v>15</v>
      </c>
      <c r="Q273">
        <v>4</v>
      </c>
      <c r="R273" t="s">
        <v>1963</v>
      </c>
    </row>
    <row r="274" spans="1:18" x14ac:dyDescent="0.35">
      <c r="A274" t="s">
        <v>303</v>
      </c>
      <c r="B274" t="s">
        <v>40</v>
      </c>
      <c r="C274" t="s">
        <v>29</v>
      </c>
      <c r="D274" t="s">
        <v>1942</v>
      </c>
      <c r="E274" s="3">
        <v>25</v>
      </c>
      <c r="F274" t="s">
        <v>1813</v>
      </c>
      <c r="G274" t="s">
        <v>1822</v>
      </c>
      <c r="H274" t="s">
        <v>19</v>
      </c>
      <c r="I274" s="1" t="s">
        <v>1309</v>
      </c>
      <c r="J274" s="7">
        <v>4</v>
      </c>
      <c r="K274" s="7">
        <v>2021</v>
      </c>
      <c r="L274" s="3">
        <v>89262.07</v>
      </c>
      <c r="M274" s="9" t="s">
        <v>1960</v>
      </c>
      <c r="N274" s="2" t="s">
        <v>1877</v>
      </c>
      <c r="O274" s="3">
        <v>3260931065</v>
      </c>
      <c r="P274" t="s">
        <v>27</v>
      </c>
      <c r="Q274">
        <v>1</v>
      </c>
      <c r="R274" t="s">
        <v>1962</v>
      </c>
    </row>
    <row r="275" spans="1:18" x14ac:dyDescent="0.35">
      <c r="A275" t="s">
        <v>304</v>
      </c>
      <c r="B275" t="s">
        <v>40</v>
      </c>
      <c r="C275" t="s">
        <v>29</v>
      </c>
      <c r="D275" t="s">
        <v>1942</v>
      </c>
      <c r="E275" s="3">
        <v>30</v>
      </c>
      <c r="F275" t="s">
        <v>1815</v>
      </c>
      <c r="G275" t="s">
        <v>1814</v>
      </c>
      <c r="H275" t="s">
        <v>11</v>
      </c>
      <c r="I275" s="1" t="s">
        <v>1310</v>
      </c>
      <c r="J275" s="7">
        <v>3</v>
      </c>
      <c r="K275" s="7">
        <v>2022</v>
      </c>
      <c r="L275" s="3">
        <v>113848.69</v>
      </c>
      <c r="M275" s="9" t="s">
        <v>1960</v>
      </c>
      <c r="N275" s="2" t="s">
        <v>1877</v>
      </c>
      <c r="O275" s="3">
        <v>8433567085</v>
      </c>
      <c r="P275" t="s">
        <v>15</v>
      </c>
      <c r="Q275">
        <v>4</v>
      </c>
      <c r="R275" t="s">
        <v>1962</v>
      </c>
    </row>
    <row r="276" spans="1:18" x14ac:dyDescent="0.35">
      <c r="A276" t="s">
        <v>305</v>
      </c>
      <c r="B276" t="s">
        <v>25</v>
      </c>
      <c r="C276" t="s">
        <v>62</v>
      </c>
      <c r="D276" t="s">
        <v>1922</v>
      </c>
      <c r="E276" s="3">
        <v>35</v>
      </c>
      <c r="F276" t="s">
        <v>1821</v>
      </c>
      <c r="G276" t="s">
        <v>1820</v>
      </c>
      <c r="H276" t="s">
        <v>11</v>
      </c>
      <c r="I276" s="1" t="s">
        <v>1311</v>
      </c>
      <c r="J276" s="7">
        <v>4</v>
      </c>
      <c r="K276" s="7">
        <v>2021</v>
      </c>
      <c r="L276" s="3">
        <v>69530.45</v>
      </c>
      <c r="M276" s="9" t="s">
        <v>1959</v>
      </c>
      <c r="N276" s="2" t="s">
        <v>1857</v>
      </c>
      <c r="O276" s="3">
        <v>414545634</v>
      </c>
      <c r="P276" t="s">
        <v>27</v>
      </c>
      <c r="Q276">
        <v>1</v>
      </c>
      <c r="R276" t="s">
        <v>1962</v>
      </c>
    </row>
    <row r="277" spans="1:18" x14ac:dyDescent="0.35">
      <c r="A277" t="s">
        <v>306</v>
      </c>
      <c r="B277" t="s">
        <v>22</v>
      </c>
      <c r="C277" t="s">
        <v>14</v>
      </c>
      <c r="D277" t="s">
        <v>1927</v>
      </c>
      <c r="E277" s="3">
        <v>35</v>
      </c>
      <c r="F277" t="s">
        <v>1813</v>
      </c>
      <c r="G277" t="s">
        <v>1822</v>
      </c>
      <c r="H277" t="s">
        <v>19</v>
      </c>
      <c r="I277" s="1" t="s">
        <v>1312</v>
      </c>
      <c r="J277" s="7">
        <v>1</v>
      </c>
      <c r="K277" s="7">
        <v>2023</v>
      </c>
      <c r="L277" s="3">
        <v>84230.22</v>
      </c>
      <c r="M277" s="9" t="s">
        <v>1959</v>
      </c>
      <c r="N277" s="2" t="s">
        <v>1862</v>
      </c>
      <c r="O277" s="3">
        <v>200053473</v>
      </c>
      <c r="P277" t="s">
        <v>20</v>
      </c>
      <c r="Q277">
        <v>3</v>
      </c>
      <c r="R277" t="s">
        <v>1962</v>
      </c>
    </row>
    <row r="278" spans="1:18" x14ac:dyDescent="0.35">
      <c r="A278" t="s">
        <v>307</v>
      </c>
      <c r="B278" t="s">
        <v>22</v>
      </c>
      <c r="C278" t="s">
        <v>62</v>
      </c>
      <c r="D278" t="s">
        <v>1955</v>
      </c>
      <c r="E278" s="3">
        <v>35</v>
      </c>
      <c r="F278" t="s">
        <v>1819</v>
      </c>
      <c r="G278" t="s">
        <v>1824</v>
      </c>
      <c r="H278" t="s">
        <v>19</v>
      </c>
      <c r="I278" s="1" t="s">
        <v>1313</v>
      </c>
      <c r="J278" s="7">
        <v>2</v>
      </c>
      <c r="K278" s="7">
        <v>2023</v>
      </c>
      <c r="L278" s="3">
        <v>76578.59</v>
      </c>
      <c r="M278" s="9" t="s">
        <v>1959</v>
      </c>
      <c r="N278" s="2" t="s">
        <v>1890</v>
      </c>
      <c r="O278" s="3">
        <v>9162475540</v>
      </c>
      <c r="P278" t="s">
        <v>12</v>
      </c>
      <c r="Q278">
        <v>2</v>
      </c>
      <c r="R278" t="s">
        <v>1963</v>
      </c>
    </row>
    <row r="279" spans="1:18" x14ac:dyDescent="0.35">
      <c r="A279" t="s">
        <v>308</v>
      </c>
      <c r="B279" t="s">
        <v>25</v>
      </c>
      <c r="C279" t="s">
        <v>50</v>
      </c>
      <c r="D279" t="s">
        <v>1914</v>
      </c>
      <c r="E279" s="3">
        <v>30</v>
      </c>
      <c r="F279" t="s">
        <v>1823</v>
      </c>
      <c r="G279" t="s">
        <v>1816</v>
      </c>
      <c r="H279" t="s">
        <v>23</v>
      </c>
      <c r="I279" s="1" t="s">
        <v>1314</v>
      </c>
      <c r="J279" s="7">
        <v>1</v>
      </c>
      <c r="K279" s="7">
        <v>2024</v>
      </c>
      <c r="L279" s="3">
        <v>55532.06</v>
      </c>
      <c r="M279" s="9" t="s">
        <v>1958</v>
      </c>
      <c r="N279" s="2" t="s">
        <v>1849</v>
      </c>
      <c r="O279" s="3">
        <v>1082555988</v>
      </c>
      <c r="P279" t="s">
        <v>15</v>
      </c>
      <c r="Q279">
        <v>4</v>
      </c>
      <c r="R279" t="s">
        <v>1962</v>
      </c>
    </row>
    <row r="280" spans="1:18" x14ac:dyDescent="0.35">
      <c r="A280" t="s">
        <v>309</v>
      </c>
      <c r="B280" t="s">
        <v>22</v>
      </c>
      <c r="C280" t="s">
        <v>62</v>
      </c>
      <c r="D280" t="s">
        <v>1955</v>
      </c>
      <c r="E280" s="3">
        <v>40</v>
      </c>
      <c r="F280" t="s">
        <v>1817</v>
      </c>
      <c r="G280" t="s">
        <v>1822</v>
      </c>
      <c r="H280" t="s">
        <v>19</v>
      </c>
      <c r="I280" s="1" t="s">
        <v>1315</v>
      </c>
      <c r="J280" s="7">
        <v>4</v>
      </c>
      <c r="K280" s="7">
        <v>2021</v>
      </c>
      <c r="L280" s="3">
        <v>115311.67999999999</v>
      </c>
      <c r="M280" s="9" t="s">
        <v>1960</v>
      </c>
      <c r="N280" s="2" t="s">
        <v>1890</v>
      </c>
      <c r="O280" s="3">
        <v>5343961128</v>
      </c>
      <c r="P280" t="s">
        <v>15</v>
      </c>
      <c r="Q280">
        <v>4</v>
      </c>
      <c r="R280" t="s">
        <v>1962</v>
      </c>
    </row>
    <row r="281" spans="1:18" x14ac:dyDescent="0.35">
      <c r="A281" t="s">
        <v>310</v>
      </c>
      <c r="B281" t="s">
        <v>34</v>
      </c>
      <c r="C281" t="s">
        <v>35</v>
      </c>
      <c r="D281" t="s">
        <v>1901</v>
      </c>
      <c r="E281" s="3">
        <v>25</v>
      </c>
      <c r="F281" t="s">
        <v>1821</v>
      </c>
      <c r="G281" t="s">
        <v>1818</v>
      </c>
      <c r="H281" t="s">
        <v>19</v>
      </c>
      <c r="I281" s="1" t="s">
        <v>1316</v>
      </c>
      <c r="J281" s="7">
        <v>4</v>
      </c>
      <c r="K281" s="7">
        <v>2021</v>
      </c>
      <c r="L281" s="3">
        <v>66972.06</v>
      </c>
      <c r="M281" s="9" t="s">
        <v>1959</v>
      </c>
      <c r="N281" s="2" t="s">
        <v>1836</v>
      </c>
      <c r="O281" s="3">
        <v>1093371188</v>
      </c>
      <c r="P281" t="s">
        <v>20</v>
      </c>
      <c r="Q281">
        <v>3</v>
      </c>
      <c r="R281" t="s">
        <v>1962</v>
      </c>
    </row>
    <row r="282" spans="1:18" x14ac:dyDescent="0.35">
      <c r="A282" t="s">
        <v>311</v>
      </c>
      <c r="B282" t="s">
        <v>37</v>
      </c>
      <c r="C282" t="s">
        <v>14</v>
      </c>
      <c r="D282" t="s">
        <v>1938</v>
      </c>
      <c r="E282" s="3">
        <v>30</v>
      </c>
      <c r="F282" t="s">
        <v>1819</v>
      </c>
      <c r="G282" t="s">
        <v>1816</v>
      </c>
      <c r="H282" t="s">
        <v>23</v>
      </c>
      <c r="I282" s="1" t="s">
        <v>1106</v>
      </c>
      <c r="J282" s="7">
        <v>4</v>
      </c>
      <c r="K282" s="7">
        <v>2021</v>
      </c>
      <c r="L282" s="3">
        <v>100215.06</v>
      </c>
      <c r="M282" s="9" t="s">
        <v>1960</v>
      </c>
      <c r="N282" s="2" t="s">
        <v>1873</v>
      </c>
      <c r="O282" s="3">
        <v>5473820235</v>
      </c>
      <c r="P282" t="s">
        <v>12</v>
      </c>
      <c r="Q282">
        <v>2</v>
      </c>
      <c r="R282" t="s">
        <v>1962</v>
      </c>
    </row>
    <row r="283" spans="1:18" x14ac:dyDescent="0.35">
      <c r="A283" t="s">
        <v>312</v>
      </c>
      <c r="B283" t="s">
        <v>34</v>
      </c>
      <c r="C283" t="s">
        <v>14</v>
      </c>
      <c r="D283" t="s">
        <v>1918</v>
      </c>
      <c r="E283" s="3">
        <v>25</v>
      </c>
      <c r="F283" t="s">
        <v>1821</v>
      </c>
      <c r="G283" t="s">
        <v>1822</v>
      </c>
      <c r="H283" t="s">
        <v>23</v>
      </c>
      <c r="I283" s="1" t="s">
        <v>1317</v>
      </c>
      <c r="J283" s="7">
        <v>2</v>
      </c>
      <c r="K283" s="7">
        <v>2023</v>
      </c>
      <c r="L283" s="3">
        <v>115452.25</v>
      </c>
      <c r="M283" s="9" t="s">
        <v>1960</v>
      </c>
      <c r="N283" s="2" t="s">
        <v>1853</v>
      </c>
      <c r="O283" s="3">
        <v>8485571616</v>
      </c>
      <c r="P283" t="s">
        <v>27</v>
      </c>
      <c r="Q283">
        <v>1</v>
      </c>
      <c r="R283" t="s">
        <v>1963</v>
      </c>
    </row>
    <row r="284" spans="1:18" x14ac:dyDescent="0.35">
      <c r="A284" t="s">
        <v>313</v>
      </c>
      <c r="B284" t="s">
        <v>40</v>
      </c>
      <c r="C284" t="s">
        <v>50</v>
      </c>
      <c r="D284" t="s">
        <v>1920</v>
      </c>
      <c r="E284" s="3">
        <v>30</v>
      </c>
      <c r="F284" t="s">
        <v>1823</v>
      </c>
      <c r="G284" t="s">
        <v>1814</v>
      </c>
      <c r="H284" t="s">
        <v>23</v>
      </c>
      <c r="I284" s="1" t="s">
        <v>1318</v>
      </c>
      <c r="J284" s="7">
        <v>2</v>
      </c>
      <c r="K284" s="7">
        <v>2023</v>
      </c>
      <c r="L284" s="3">
        <v>54141.38</v>
      </c>
      <c r="M284" s="9" t="s">
        <v>1958</v>
      </c>
      <c r="N284" s="2" t="s">
        <v>1855</v>
      </c>
      <c r="O284" s="3">
        <v>6880294239</v>
      </c>
      <c r="P284" t="s">
        <v>12</v>
      </c>
      <c r="Q284">
        <v>2</v>
      </c>
      <c r="R284" t="s">
        <v>1963</v>
      </c>
    </row>
    <row r="285" spans="1:18" x14ac:dyDescent="0.35">
      <c r="A285" t="s">
        <v>314</v>
      </c>
      <c r="B285" t="s">
        <v>37</v>
      </c>
      <c r="C285" t="s">
        <v>10</v>
      </c>
      <c r="D285" t="s">
        <v>1903</v>
      </c>
      <c r="E285" s="3">
        <v>30</v>
      </c>
      <c r="F285" t="s">
        <v>1813</v>
      </c>
      <c r="G285" t="s">
        <v>1818</v>
      </c>
      <c r="H285" t="s">
        <v>11</v>
      </c>
      <c r="I285" s="1" t="s">
        <v>1319</v>
      </c>
      <c r="J285" s="7">
        <v>4</v>
      </c>
      <c r="K285" s="7">
        <v>2020</v>
      </c>
      <c r="L285" s="3">
        <v>79251.95</v>
      </c>
      <c r="M285" s="9" t="s">
        <v>1959</v>
      </c>
      <c r="N285" s="2" t="s">
        <v>1838</v>
      </c>
      <c r="O285" s="3">
        <v>9036788126</v>
      </c>
      <c r="P285" t="s">
        <v>20</v>
      </c>
      <c r="Q285">
        <v>3</v>
      </c>
      <c r="R285" t="s">
        <v>1963</v>
      </c>
    </row>
    <row r="286" spans="1:18" x14ac:dyDescent="0.35">
      <c r="A286" t="s">
        <v>315</v>
      </c>
      <c r="B286" t="s">
        <v>17</v>
      </c>
      <c r="C286" t="s">
        <v>35</v>
      </c>
      <c r="D286" t="s">
        <v>1925</v>
      </c>
      <c r="E286" s="3">
        <v>40</v>
      </c>
      <c r="F286" t="s">
        <v>1815</v>
      </c>
      <c r="G286" t="s">
        <v>1822</v>
      </c>
      <c r="H286" t="s">
        <v>19</v>
      </c>
      <c r="I286" s="1" t="s">
        <v>1320</v>
      </c>
      <c r="J286" s="7">
        <v>1</v>
      </c>
      <c r="K286" s="7">
        <v>2024</v>
      </c>
      <c r="L286" s="3">
        <v>114822.78</v>
      </c>
      <c r="M286" s="9" t="s">
        <v>1960</v>
      </c>
      <c r="N286" s="2" t="s">
        <v>1860</v>
      </c>
      <c r="O286" s="3">
        <v>8686694319</v>
      </c>
      <c r="P286" t="s">
        <v>20</v>
      </c>
      <c r="Q286">
        <v>3</v>
      </c>
      <c r="R286" t="s">
        <v>1962</v>
      </c>
    </row>
    <row r="287" spans="1:18" x14ac:dyDescent="0.35">
      <c r="A287" t="s">
        <v>316</v>
      </c>
      <c r="B287" t="s">
        <v>17</v>
      </c>
      <c r="C287" t="s">
        <v>26</v>
      </c>
      <c r="D287" t="s">
        <v>1950</v>
      </c>
      <c r="E287" s="3">
        <v>35</v>
      </c>
      <c r="F287" t="s">
        <v>1821</v>
      </c>
      <c r="G287" t="s">
        <v>1824</v>
      </c>
      <c r="H287" t="s">
        <v>11</v>
      </c>
      <c r="I287" s="1" t="s">
        <v>1321</v>
      </c>
      <c r="J287" s="7">
        <v>4</v>
      </c>
      <c r="K287" s="7">
        <v>2021</v>
      </c>
      <c r="L287" s="3">
        <v>69919.320000000007</v>
      </c>
      <c r="M287" s="9" t="s">
        <v>1959</v>
      </c>
      <c r="N287" s="2" t="s">
        <v>1885</v>
      </c>
      <c r="O287" s="3">
        <v>2939087883</v>
      </c>
      <c r="P287" t="s">
        <v>12</v>
      </c>
      <c r="Q287">
        <v>2</v>
      </c>
      <c r="R287" t="s">
        <v>1962</v>
      </c>
    </row>
    <row r="288" spans="1:18" x14ac:dyDescent="0.35">
      <c r="A288" t="s">
        <v>317</v>
      </c>
      <c r="B288" t="s">
        <v>40</v>
      </c>
      <c r="C288" t="s">
        <v>62</v>
      </c>
      <c r="D288" t="s">
        <v>1951</v>
      </c>
      <c r="E288" s="3">
        <v>30</v>
      </c>
      <c r="F288" t="s">
        <v>1821</v>
      </c>
      <c r="G288" t="s">
        <v>1820</v>
      </c>
      <c r="H288" t="s">
        <v>23</v>
      </c>
      <c r="I288" s="1" t="s">
        <v>1322</v>
      </c>
      <c r="J288" s="7">
        <v>4</v>
      </c>
      <c r="K288" s="7">
        <v>2021</v>
      </c>
      <c r="L288" s="3">
        <v>106616.97</v>
      </c>
      <c r="M288" s="9" t="s">
        <v>1960</v>
      </c>
      <c r="N288" s="2" t="s">
        <v>1886</v>
      </c>
      <c r="O288" s="3">
        <v>4344812307</v>
      </c>
      <c r="P288" t="s">
        <v>27</v>
      </c>
      <c r="Q288">
        <v>1</v>
      </c>
      <c r="R288" t="s">
        <v>1963</v>
      </c>
    </row>
    <row r="289" spans="1:18" x14ac:dyDescent="0.35">
      <c r="A289" t="s">
        <v>318</v>
      </c>
      <c r="B289" t="s">
        <v>40</v>
      </c>
      <c r="C289" t="s">
        <v>18</v>
      </c>
      <c r="D289" t="s">
        <v>1947</v>
      </c>
      <c r="E289" s="3">
        <v>35</v>
      </c>
      <c r="F289" t="s">
        <v>1813</v>
      </c>
      <c r="G289" t="s">
        <v>1822</v>
      </c>
      <c r="H289" t="s">
        <v>11</v>
      </c>
      <c r="I289" s="1" t="s">
        <v>1323</v>
      </c>
      <c r="J289" s="7">
        <v>1</v>
      </c>
      <c r="K289" s="7">
        <v>2024</v>
      </c>
      <c r="L289" s="3">
        <v>73597.850000000006</v>
      </c>
      <c r="M289" s="9" t="s">
        <v>1959</v>
      </c>
      <c r="N289" s="2" t="s">
        <v>1882</v>
      </c>
      <c r="O289" s="3">
        <v>3402424032</v>
      </c>
      <c r="P289" t="s">
        <v>27</v>
      </c>
      <c r="Q289">
        <v>1</v>
      </c>
      <c r="R289" t="s">
        <v>1962</v>
      </c>
    </row>
    <row r="290" spans="1:18" x14ac:dyDescent="0.35">
      <c r="A290" t="s">
        <v>319</v>
      </c>
      <c r="B290" t="s">
        <v>37</v>
      </c>
      <c r="C290" t="s">
        <v>62</v>
      </c>
      <c r="D290" t="s">
        <v>1949</v>
      </c>
      <c r="E290" s="3">
        <v>30</v>
      </c>
      <c r="F290" t="s">
        <v>1821</v>
      </c>
      <c r="G290" t="s">
        <v>1818</v>
      </c>
      <c r="H290" t="s">
        <v>23</v>
      </c>
      <c r="I290" s="1" t="s">
        <v>1324</v>
      </c>
      <c r="J290" s="7">
        <v>1</v>
      </c>
      <c r="K290" s="7">
        <v>2024</v>
      </c>
      <c r="L290" s="3">
        <v>79939.23</v>
      </c>
      <c r="M290" s="9" t="s">
        <v>1959</v>
      </c>
      <c r="N290" s="2" t="s">
        <v>1884</v>
      </c>
      <c r="O290" s="3">
        <v>8105955183</v>
      </c>
      <c r="P290" t="s">
        <v>15</v>
      </c>
      <c r="Q290">
        <v>4</v>
      </c>
      <c r="R290" t="s">
        <v>1962</v>
      </c>
    </row>
    <row r="291" spans="1:18" x14ac:dyDescent="0.35">
      <c r="A291" t="s">
        <v>320</v>
      </c>
      <c r="B291" t="s">
        <v>42</v>
      </c>
      <c r="C291" t="s">
        <v>29</v>
      </c>
      <c r="D291" t="s">
        <v>1908</v>
      </c>
      <c r="E291" s="3">
        <v>25</v>
      </c>
      <c r="F291" t="s">
        <v>1817</v>
      </c>
      <c r="G291" t="s">
        <v>1822</v>
      </c>
      <c r="H291" t="s">
        <v>23</v>
      </c>
      <c r="I291" s="1" t="s">
        <v>1325</v>
      </c>
      <c r="J291" s="7">
        <v>4</v>
      </c>
      <c r="K291" s="7">
        <v>2021</v>
      </c>
      <c r="L291" s="3">
        <v>0</v>
      </c>
      <c r="M291" s="9" t="s">
        <v>1958</v>
      </c>
      <c r="N291" s="2" t="s">
        <v>1843</v>
      </c>
      <c r="O291" s="3">
        <v>2694500533</v>
      </c>
      <c r="P291" t="s">
        <v>27</v>
      </c>
      <c r="Q291">
        <v>1</v>
      </c>
      <c r="R291" t="s">
        <v>1963</v>
      </c>
    </row>
    <row r="292" spans="1:18" x14ac:dyDescent="0.35">
      <c r="A292" t="s">
        <v>321</v>
      </c>
      <c r="B292" t="s">
        <v>42</v>
      </c>
      <c r="C292" t="s">
        <v>62</v>
      </c>
      <c r="D292" t="s">
        <v>1921</v>
      </c>
      <c r="E292" s="3">
        <v>30</v>
      </c>
      <c r="F292" t="s">
        <v>1815</v>
      </c>
      <c r="G292" t="s">
        <v>1814</v>
      </c>
      <c r="H292" t="s">
        <v>23</v>
      </c>
      <c r="I292" s="1" t="s">
        <v>1326</v>
      </c>
      <c r="J292" s="7">
        <v>4</v>
      </c>
      <c r="K292" s="7">
        <v>2021</v>
      </c>
      <c r="L292" s="3">
        <v>90772.25</v>
      </c>
      <c r="M292" s="9" t="s">
        <v>1960</v>
      </c>
      <c r="N292" s="2" t="s">
        <v>1856</v>
      </c>
      <c r="O292" s="3">
        <v>2408916497</v>
      </c>
      <c r="P292" t="s">
        <v>12</v>
      </c>
      <c r="Q292">
        <v>2</v>
      </c>
      <c r="R292" t="s">
        <v>1963</v>
      </c>
    </row>
    <row r="293" spans="1:18" x14ac:dyDescent="0.35">
      <c r="A293" t="s">
        <v>322</v>
      </c>
      <c r="B293" t="s">
        <v>22</v>
      </c>
      <c r="C293" t="s">
        <v>26</v>
      </c>
      <c r="D293" t="s">
        <v>1923</v>
      </c>
      <c r="E293" s="3">
        <v>35</v>
      </c>
      <c r="F293" t="s">
        <v>1813</v>
      </c>
      <c r="G293" t="s">
        <v>1822</v>
      </c>
      <c r="H293" t="s">
        <v>11</v>
      </c>
      <c r="I293" s="1" t="s">
        <v>1327</v>
      </c>
      <c r="J293" s="7">
        <v>2</v>
      </c>
      <c r="K293" s="7">
        <v>2023</v>
      </c>
      <c r="L293" s="3">
        <v>58275.74</v>
      </c>
      <c r="M293" s="9" t="s">
        <v>1958</v>
      </c>
      <c r="N293" s="2" t="s">
        <v>1858</v>
      </c>
      <c r="O293" s="3">
        <v>3735439626</v>
      </c>
      <c r="P293" t="s">
        <v>20</v>
      </c>
      <c r="Q293">
        <v>3</v>
      </c>
      <c r="R293" t="s">
        <v>1963</v>
      </c>
    </row>
    <row r="294" spans="1:18" x14ac:dyDescent="0.35">
      <c r="A294" t="s">
        <v>323</v>
      </c>
      <c r="B294" t="s">
        <v>42</v>
      </c>
      <c r="C294" t="s">
        <v>62</v>
      </c>
      <c r="D294" t="s">
        <v>1921</v>
      </c>
      <c r="E294" s="3">
        <v>30</v>
      </c>
      <c r="F294" t="s">
        <v>1813</v>
      </c>
      <c r="G294" t="s">
        <v>1814</v>
      </c>
      <c r="H294" t="s">
        <v>19</v>
      </c>
      <c r="I294" s="1" t="s">
        <v>1170</v>
      </c>
      <c r="J294" s="7">
        <v>5</v>
      </c>
      <c r="K294" s="7">
        <v>2020</v>
      </c>
      <c r="L294" s="3">
        <v>94709.79</v>
      </c>
      <c r="M294" s="9" t="s">
        <v>1960</v>
      </c>
      <c r="N294" s="2" t="s">
        <v>1856</v>
      </c>
      <c r="O294" s="3">
        <v>3652717271</v>
      </c>
      <c r="P294" t="s">
        <v>15</v>
      </c>
      <c r="Q294">
        <v>4</v>
      </c>
      <c r="R294" t="s">
        <v>1963</v>
      </c>
    </row>
    <row r="295" spans="1:18" x14ac:dyDescent="0.35">
      <c r="A295" t="s">
        <v>324</v>
      </c>
      <c r="B295" t="s">
        <v>25</v>
      </c>
      <c r="C295" t="s">
        <v>35</v>
      </c>
      <c r="D295" t="s">
        <v>1944</v>
      </c>
      <c r="E295" s="3">
        <v>30</v>
      </c>
      <c r="F295" t="s">
        <v>1817</v>
      </c>
      <c r="G295" t="s">
        <v>1822</v>
      </c>
      <c r="H295" t="s">
        <v>11</v>
      </c>
      <c r="I295" s="1" t="s">
        <v>1328</v>
      </c>
      <c r="J295" s="7">
        <v>3</v>
      </c>
      <c r="K295" s="7">
        <v>2022</v>
      </c>
      <c r="L295" s="3">
        <v>60722.99</v>
      </c>
      <c r="M295" s="9" t="s">
        <v>1959</v>
      </c>
      <c r="N295" s="2" t="s">
        <v>1879</v>
      </c>
      <c r="O295" s="3">
        <v>2397240421</v>
      </c>
      <c r="P295" t="s">
        <v>15</v>
      </c>
      <c r="Q295">
        <v>4</v>
      </c>
      <c r="R295" t="s">
        <v>1962</v>
      </c>
    </row>
    <row r="296" spans="1:18" x14ac:dyDescent="0.35">
      <c r="A296" t="s">
        <v>325</v>
      </c>
      <c r="B296" t="s">
        <v>25</v>
      </c>
      <c r="C296" t="s">
        <v>35</v>
      </c>
      <c r="D296" t="s">
        <v>1944</v>
      </c>
      <c r="E296" s="3">
        <v>40</v>
      </c>
      <c r="F296" t="s">
        <v>1813</v>
      </c>
      <c r="G296" t="s">
        <v>1824</v>
      </c>
      <c r="H296" t="s">
        <v>23</v>
      </c>
      <c r="I296" s="1" t="s">
        <v>1329</v>
      </c>
      <c r="J296" s="7">
        <v>1</v>
      </c>
      <c r="K296" s="7">
        <v>2024</v>
      </c>
      <c r="L296" s="3">
        <v>87626.240000000005</v>
      </c>
      <c r="M296" s="9" t="s">
        <v>1960</v>
      </c>
      <c r="N296" s="2" t="s">
        <v>1879</v>
      </c>
      <c r="O296" s="3">
        <v>6931216375</v>
      </c>
      <c r="P296" t="s">
        <v>20</v>
      </c>
      <c r="Q296">
        <v>3</v>
      </c>
      <c r="R296" t="s">
        <v>1962</v>
      </c>
    </row>
    <row r="297" spans="1:18" x14ac:dyDescent="0.35">
      <c r="A297" t="s">
        <v>326</v>
      </c>
      <c r="B297" t="s">
        <v>37</v>
      </c>
      <c r="C297" t="s">
        <v>14</v>
      </c>
      <c r="D297" t="s">
        <v>1938</v>
      </c>
      <c r="E297" s="3">
        <v>30</v>
      </c>
      <c r="F297" t="s">
        <v>1813</v>
      </c>
      <c r="G297" t="s">
        <v>1824</v>
      </c>
      <c r="H297" t="s">
        <v>11</v>
      </c>
      <c r="I297" s="1" t="s">
        <v>1330</v>
      </c>
      <c r="J297" s="7">
        <v>2</v>
      </c>
      <c r="K297" s="7">
        <v>2022</v>
      </c>
      <c r="L297" s="3">
        <v>81272.36</v>
      </c>
      <c r="M297" s="9" t="s">
        <v>1959</v>
      </c>
      <c r="N297" s="2" t="s">
        <v>1873</v>
      </c>
      <c r="O297" s="3">
        <v>1820916600</v>
      </c>
      <c r="P297" t="s">
        <v>27</v>
      </c>
      <c r="Q297">
        <v>1</v>
      </c>
      <c r="R297" t="s">
        <v>1963</v>
      </c>
    </row>
    <row r="298" spans="1:18" x14ac:dyDescent="0.35">
      <c r="A298" t="s">
        <v>327</v>
      </c>
      <c r="B298" t="s">
        <v>9</v>
      </c>
      <c r="C298" t="s">
        <v>50</v>
      </c>
      <c r="D298" t="s">
        <v>1911</v>
      </c>
      <c r="E298" s="3">
        <v>30</v>
      </c>
      <c r="F298" t="s">
        <v>1819</v>
      </c>
      <c r="G298" t="s">
        <v>1816</v>
      </c>
      <c r="H298" t="s">
        <v>19</v>
      </c>
      <c r="I298" s="1" t="s">
        <v>1331</v>
      </c>
      <c r="J298" s="7">
        <v>3</v>
      </c>
      <c r="K298" s="7">
        <v>2022</v>
      </c>
      <c r="L298" s="3">
        <v>64150.97</v>
      </c>
      <c r="M298" s="9" t="s">
        <v>1959</v>
      </c>
      <c r="N298" s="2" t="s">
        <v>1846</v>
      </c>
      <c r="O298" s="3">
        <v>23142899</v>
      </c>
      <c r="P298" t="s">
        <v>20</v>
      </c>
      <c r="Q298">
        <v>3</v>
      </c>
      <c r="R298" t="s">
        <v>1962</v>
      </c>
    </row>
    <row r="299" spans="1:18" x14ac:dyDescent="0.35">
      <c r="A299" t="s">
        <v>328</v>
      </c>
      <c r="B299" t="s">
        <v>34</v>
      </c>
      <c r="C299" t="s">
        <v>10</v>
      </c>
      <c r="D299" t="s">
        <v>1931</v>
      </c>
      <c r="E299" s="3">
        <v>35</v>
      </c>
      <c r="F299" t="s">
        <v>1821</v>
      </c>
      <c r="G299" t="s">
        <v>1820</v>
      </c>
      <c r="H299" t="s">
        <v>11</v>
      </c>
      <c r="I299" s="1" t="s">
        <v>1332</v>
      </c>
      <c r="J299" s="7">
        <v>2</v>
      </c>
      <c r="K299" s="7">
        <v>2023</v>
      </c>
      <c r="L299" s="3">
        <v>64378.1</v>
      </c>
      <c r="M299" s="9" t="s">
        <v>1959</v>
      </c>
      <c r="N299" s="2" t="s">
        <v>1866</v>
      </c>
      <c r="O299" s="3">
        <v>1851327971</v>
      </c>
      <c r="P299" t="s">
        <v>27</v>
      </c>
      <c r="Q299">
        <v>1</v>
      </c>
      <c r="R299" t="s">
        <v>1963</v>
      </c>
    </row>
    <row r="300" spans="1:18" x14ac:dyDescent="0.35">
      <c r="A300" t="s">
        <v>329</v>
      </c>
      <c r="B300" t="s">
        <v>9</v>
      </c>
      <c r="C300" t="s">
        <v>18</v>
      </c>
      <c r="D300" t="s">
        <v>1899</v>
      </c>
      <c r="E300" s="3">
        <v>30</v>
      </c>
      <c r="F300" t="s">
        <v>1815</v>
      </c>
      <c r="G300" t="s">
        <v>1816</v>
      </c>
      <c r="H300" t="s">
        <v>23</v>
      </c>
      <c r="I300" s="1" t="s">
        <v>1333</v>
      </c>
      <c r="J300" s="7">
        <v>5</v>
      </c>
      <c r="K300" s="7">
        <v>2020</v>
      </c>
      <c r="L300" s="3">
        <v>85927.35</v>
      </c>
      <c r="M300" s="9" t="s">
        <v>1960</v>
      </c>
      <c r="N300" s="2" t="s">
        <v>1834</v>
      </c>
      <c r="O300" s="3">
        <v>4572308480</v>
      </c>
      <c r="P300" t="s">
        <v>20</v>
      </c>
      <c r="Q300">
        <v>3</v>
      </c>
      <c r="R300" t="s">
        <v>1963</v>
      </c>
    </row>
    <row r="301" spans="1:18" x14ac:dyDescent="0.35">
      <c r="A301" t="s">
        <v>330</v>
      </c>
      <c r="B301" t="s">
        <v>17</v>
      </c>
      <c r="C301" t="s">
        <v>29</v>
      </c>
      <c r="D301" t="s">
        <v>1897</v>
      </c>
      <c r="E301" s="3">
        <v>30</v>
      </c>
      <c r="F301" t="s">
        <v>1815</v>
      </c>
      <c r="G301" t="s">
        <v>1818</v>
      </c>
      <c r="H301" t="s">
        <v>23</v>
      </c>
      <c r="I301" s="1" t="s">
        <v>1334</v>
      </c>
      <c r="J301" s="7">
        <v>1</v>
      </c>
      <c r="K301" s="7">
        <v>2024</v>
      </c>
      <c r="L301" s="3">
        <v>51523.93</v>
      </c>
      <c r="M301" s="9" t="s">
        <v>1958</v>
      </c>
      <c r="N301" s="2" t="s">
        <v>1832</v>
      </c>
      <c r="O301" s="3">
        <v>18418619</v>
      </c>
      <c r="P301" t="s">
        <v>12</v>
      </c>
      <c r="Q301">
        <v>2</v>
      </c>
      <c r="R301" t="s">
        <v>1962</v>
      </c>
    </row>
    <row r="302" spans="1:18" x14ac:dyDescent="0.35">
      <c r="A302" t="s">
        <v>331</v>
      </c>
      <c r="B302" t="s">
        <v>17</v>
      </c>
      <c r="C302" t="s">
        <v>62</v>
      </c>
      <c r="D302" t="s">
        <v>1933</v>
      </c>
      <c r="E302" s="3">
        <v>30</v>
      </c>
      <c r="F302" t="s">
        <v>1821</v>
      </c>
      <c r="G302" t="s">
        <v>1816</v>
      </c>
      <c r="H302" t="s">
        <v>11</v>
      </c>
      <c r="I302" s="1" t="s">
        <v>1335</v>
      </c>
      <c r="J302" s="7">
        <v>3</v>
      </c>
      <c r="K302" s="7">
        <v>2022</v>
      </c>
      <c r="L302" s="3">
        <v>74117.02</v>
      </c>
      <c r="M302" s="9" t="s">
        <v>1959</v>
      </c>
      <c r="N302" s="2" t="s">
        <v>1868</v>
      </c>
      <c r="O302" s="3">
        <v>3036625435</v>
      </c>
      <c r="P302" t="s">
        <v>27</v>
      </c>
      <c r="Q302">
        <v>1</v>
      </c>
      <c r="R302" t="s">
        <v>1963</v>
      </c>
    </row>
    <row r="303" spans="1:18" x14ac:dyDescent="0.35">
      <c r="A303" t="s">
        <v>332</v>
      </c>
      <c r="B303" t="s">
        <v>17</v>
      </c>
      <c r="C303" t="s">
        <v>62</v>
      </c>
      <c r="D303" t="s">
        <v>1933</v>
      </c>
      <c r="E303" s="3">
        <v>25</v>
      </c>
      <c r="F303" t="s">
        <v>1815</v>
      </c>
      <c r="G303" t="s">
        <v>1816</v>
      </c>
      <c r="H303" t="s">
        <v>23</v>
      </c>
      <c r="I303" s="1" t="s">
        <v>1336</v>
      </c>
      <c r="J303" s="7">
        <v>3</v>
      </c>
      <c r="K303" s="7">
        <v>2022</v>
      </c>
      <c r="L303" s="3">
        <v>62598.69</v>
      </c>
      <c r="M303" s="9" t="s">
        <v>1959</v>
      </c>
      <c r="N303" s="2" t="s">
        <v>1868</v>
      </c>
      <c r="O303" s="3">
        <v>1721314518</v>
      </c>
      <c r="P303" t="s">
        <v>12</v>
      </c>
      <c r="Q303">
        <v>2</v>
      </c>
      <c r="R303" t="s">
        <v>1962</v>
      </c>
    </row>
    <row r="304" spans="1:18" x14ac:dyDescent="0.35">
      <c r="A304" t="s">
        <v>333</v>
      </c>
      <c r="B304" t="s">
        <v>42</v>
      </c>
      <c r="C304" t="s">
        <v>26</v>
      </c>
      <c r="D304" t="s">
        <v>1905</v>
      </c>
      <c r="E304" s="3">
        <v>35</v>
      </c>
      <c r="F304" t="s">
        <v>1815</v>
      </c>
      <c r="G304" t="s">
        <v>1820</v>
      </c>
      <c r="H304" t="s">
        <v>23</v>
      </c>
      <c r="I304" s="1" t="s">
        <v>1337</v>
      </c>
      <c r="J304" s="7">
        <v>3</v>
      </c>
      <c r="K304" s="7">
        <v>2022</v>
      </c>
      <c r="L304" s="3">
        <v>55617.5</v>
      </c>
      <c r="M304" s="9" t="s">
        <v>1958</v>
      </c>
      <c r="N304" s="2" t="s">
        <v>1840</v>
      </c>
      <c r="O304" s="3">
        <v>5151092267</v>
      </c>
      <c r="P304" t="s">
        <v>15</v>
      </c>
      <c r="Q304">
        <v>4</v>
      </c>
      <c r="R304" t="s">
        <v>1962</v>
      </c>
    </row>
    <row r="305" spans="1:18" x14ac:dyDescent="0.35">
      <c r="A305" t="s">
        <v>334</v>
      </c>
      <c r="B305" t="s">
        <v>34</v>
      </c>
      <c r="C305" t="s">
        <v>50</v>
      </c>
      <c r="D305" t="s">
        <v>1954</v>
      </c>
      <c r="E305" s="3">
        <v>35</v>
      </c>
      <c r="F305" t="s">
        <v>1819</v>
      </c>
      <c r="G305" t="s">
        <v>1822</v>
      </c>
      <c r="H305" t="s">
        <v>19</v>
      </c>
      <c r="I305" s="1" t="s">
        <v>1338</v>
      </c>
      <c r="J305" s="7">
        <v>3</v>
      </c>
      <c r="K305" s="7">
        <v>2022</v>
      </c>
      <c r="L305" s="3">
        <v>87018.98</v>
      </c>
      <c r="M305" s="9" t="s">
        <v>1960</v>
      </c>
      <c r="N305" s="2" t="s">
        <v>1889</v>
      </c>
      <c r="O305" s="3">
        <v>5926249450</v>
      </c>
      <c r="P305" t="s">
        <v>20</v>
      </c>
      <c r="Q305">
        <v>3</v>
      </c>
      <c r="R305" t="s">
        <v>1962</v>
      </c>
    </row>
    <row r="306" spans="1:18" x14ac:dyDescent="0.35">
      <c r="A306" t="s">
        <v>335</v>
      </c>
      <c r="B306" t="s">
        <v>37</v>
      </c>
      <c r="C306" t="s">
        <v>35</v>
      </c>
      <c r="D306" t="s">
        <v>1937</v>
      </c>
      <c r="E306" s="3">
        <v>25</v>
      </c>
      <c r="F306" t="s">
        <v>1819</v>
      </c>
      <c r="G306" t="s">
        <v>1814</v>
      </c>
      <c r="H306" t="s">
        <v>23</v>
      </c>
      <c r="I306" s="1" t="s">
        <v>1079</v>
      </c>
      <c r="J306" s="7">
        <v>2</v>
      </c>
      <c r="K306" s="7">
        <v>2023</v>
      </c>
      <c r="L306" s="3">
        <v>100336.58</v>
      </c>
      <c r="M306" s="9" t="s">
        <v>1960</v>
      </c>
      <c r="N306" s="2" t="s">
        <v>1872</v>
      </c>
      <c r="O306" s="3">
        <v>4754102251</v>
      </c>
      <c r="P306" t="s">
        <v>15</v>
      </c>
      <c r="Q306">
        <v>4</v>
      </c>
      <c r="R306" t="s">
        <v>1962</v>
      </c>
    </row>
    <row r="307" spans="1:18" x14ac:dyDescent="0.35">
      <c r="A307" t="s">
        <v>336</v>
      </c>
      <c r="B307" t="s">
        <v>42</v>
      </c>
      <c r="C307" t="s">
        <v>18</v>
      </c>
      <c r="D307" t="s">
        <v>1906</v>
      </c>
      <c r="E307" s="3">
        <v>30</v>
      </c>
      <c r="F307" t="s">
        <v>1817</v>
      </c>
      <c r="G307" t="s">
        <v>1820</v>
      </c>
      <c r="H307" t="s">
        <v>23</v>
      </c>
      <c r="I307" s="1" t="s">
        <v>1339</v>
      </c>
      <c r="J307" s="7">
        <v>5</v>
      </c>
      <c r="K307" s="7">
        <v>2020</v>
      </c>
      <c r="L307" s="3">
        <v>69295.48</v>
      </c>
      <c r="M307" s="9" t="s">
        <v>1959</v>
      </c>
      <c r="N307" s="2" t="s">
        <v>1841</v>
      </c>
      <c r="O307" s="3">
        <v>6771196420</v>
      </c>
      <c r="P307" t="s">
        <v>15</v>
      </c>
      <c r="Q307">
        <v>4</v>
      </c>
      <c r="R307" t="s">
        <v>1963</v>
      </c>
    </row>
    <row r="308" spans="1:18" x14ac:dyDescent="0.35">
      <c r="A308" t="s">
        <v>337</v>
      </c>
      <c r="B308" t="s">
        <v>9</v>
      </c>
      <c r="C308" t="s">
        <v>14</v>
      </c>
      <c r="D308" t="s">
        <v>1893</v>
      </c>
      <c r="E308" s="3">
        <v>25</v>
      </c>
      <c r="F308" t="s">
        <v>1813</v>
      </c>
      <c r="G308" t="s">
        <v>1820</v>
      </c>
      <c r="H308" t="s">
        <v>19</v>
      </c>
      <c r="I308" s="1" t="s">
        <v>1340</v>
      </c>
      <c r="J308" s="7">
        <v>1</v>
      </c>
      <c r="K308" s="7">
        <v>2024</v>
      </c>
      <c r="L308" s="3">
        <v>115536.66</v>
      </c>
      <c r="M308" s="9" t="s">
        <v>1960</v>
      </c>
      <c r="N308" s="2" t="s">
        <v>1828</v>
      </c>
      <c r="O308" s="3">
        <v>5226557675</v>
      </c>
      <c r="P308" t="s">
        <v>15</v>
      </c>
      <c r="Q308">
        <v>4</v>
      </c>
      <c r="R308" t="s">
        <v>1962</v>
      </c>
    </row>
    <row r="309" spans="1:18" x14ac:dyDescent="0.35">
      <c r="A309" t="s">
        <v>338</v>
      </c>
      <c r="B309" t="s">
        <v>37</v>
      </c>
      <c r="C309" t="s">
        <v>35</v>
      </c>
      <c r="D309" t="s">
        <v>1937</v>
      </c>
      <c r="E309" s="3">
        <v>30</v>
      </c>
      <c r="F309" t="s">
        <v>1819</v>
      </c>
      <c r="G309" t="s">
        <v>1816</v>
      </c>
      <c r="H309" t="s">
        <v>19</v>
      </c>
      <c r="I309" s="1" t="s">
        <v>1341</v>
      </c>
      <c r="J309" s="7">
        <v>5</v>
      </c>
      <c r="K309" s="7">
        <v>2020</v>
      </c>
      <c r="L309" s="3">
        <v>81250.87</v>
      </c>
      <c r="M309" s="9" t="s">
        <v>1959</v>
      </c>
      <c r="N309" s="2" t="s">
        <v>1872</v>
      </c>
      <c r="O309" s="3">
        <v>9523668787</v>
      </c>
      <c r="P309" t="s">
        <v>15</v>
      </c>
      <c r="Q309">
        <v>4</v>
      </c>
      <c r="R309" t="s">
        <v>1963</v>
      </c>
    </row>
    <row r="310" spans="1:18" x14ac:dyDescent="0.35">
      <c r="A310" t="s">
        <v>339</v>
      </c>
      <c r="B310" t="s">
        <v>17</v>
      </c>
      <c r="C310" t="s">
        <v>29</v>
      </c>
      <c r="D310" t="s">
        <v>1897</v>
      </c>
      <c r="E310" s="3">
        <v>30</v>
      </c>
      <c r="F310" t="s">
        <v>1813</v>
      </c>
      <c r="G310" t="s">
        <v>1816</v>
      </c>
      <c r="H310" t="s">
        <v>23</v>
      </c>
      <c r="I310" s="1" t="s">
        <v>1342</v>
      </c>
      <c r="J310" s="7">
        <v>3</v>
      </c>
      <c r="K310" s="7">
        <v>2022</v>
      </c>
      <c r="L310" s="3">
        <v>66403.75</v>
      </c>
      <c r="M310" s="9" t="s">
        <v>1959</v>
      </c>
      <c r="N310" s="2" t="s">
        <v>1832</v>
      </c>
      <c r="O310" s="3">
        <v>7883619688</v>
      </c>
      <c r="P310" t="s">
        <v>20</v>
      </c>
      <c r="Q310">
        <v>3</v>
      </c>
      <c r="R310" t="s">
        <v>1963</v>
      </c>
    </row>
    <row r="311" spans="1:18" x14ac:dyDescent="0.35">
      <c r="A311" t="s">
        <v>340</v>
      </c>
      <c r="B311" t="s">
        <v>17</v>
      </c>
      <c r="C311" t="s">
        <v>50</v>
      </c>
      <c r="D311" t="s">
        <v>1929</v>
      </c>
      <c r="E311" s="3">
        <v>30</v>
      </c>
      <c r="F311" t="s">
        <v>1821</v>
      </c>
      <c r="G311" t="s">
        <v>1814</v>
      </c>
      <c r="H311" t="s">
        <v>11</v>
      </c>
      <c r="I311" s="1" t="s">
        <v>1343</v>
      </c>
      <c r="J311" s="7">
        <v>1</v>
      </c>
      <c r="K311" s="7">
        <v>2024</v>
      </c>
      <c r="L311" s="3">
        <v>114147.79</v>
      </c>
      <c r="M311" s="9" t="s">
        <v>1960</v>
      </c>
      <c r="N311" s="2" t="s">
        <v>1864</v>
      </c>
      <c r="O311" s="3">
        <v>3135030586</v>
      </c>
      <c r="P311" t="s">
        <v>15</v>
      </c>
      <c r="Q311">
        <v>4</v>
      </c>
      <c r="R311" t="s">
        <v>1963</v>
      </c>
    </row>
    <row r="312" spans="1:18" x14ac:dyDescent="0.35">
      <c r="A312" t="s">
        <v>341</v>
      </c>
      <c r="B312" t="s">
        <v>25</v>
      </c>
      <c r="C312" t="s">
        <v>29</v>
      </c>
      <c r="D312" t="s">
        <v>1932</v>
      </c>
      <c r="E312" s="3">
        <v>30</v>
      </c>
      <c r="F312" t="s">
        <v>1823</v>
      </c>
      <c r="G312" t="s">
        <v>1822</v>
      </c>
      <c r="H312" t="s">
        <v>19</v>
      </c>
      <c r="I312" s="1" t="s">
        <v>1344</v>
      </c>
      <c r="J312" s="7">
        <v>3</v>
      </c>
      <c r="K312" s="7">
        <v>2022</v>
      </c>
      <c r="L312" s="3">
        <v>65472.99</v>
      </c>
      <c r="M312" s="9" t="s">
        <v>1959</v>
      </c>
      <c r="N312" s="2" t="s">
        <v>1867</v>
      </c>
      <c r="O312" s="3">
        <v>2105524727</v>
      </c>
      <c r="P312" t="s">
        <v>20</v>
      </c>
      <c r="Q312">
        <v>3</v>
      </c>
      <c r="R312" t="s">
        <v>1963</v>
      </c>
    </row>
    <row r="313" spans="1:18" x14ac:dyDescent="0.35">
      <c r="A313" t="s">
        <v>342</v>
      </c>
      <c r="B313" t="s">
        <v>17</v>
      </c>
      <c r="C313" t="s">
        <v>10</v>
      </c>
      <c r="D313" t="s">
        <v>1928</v>
      </c>
      <c r="E313" s="3">
        <v>30</v>
      </c>
      <c r="F313" t="s">
        <v>1821</v>
      </c>
      <c r="G313" t="s">
        <v>1818</v>
      </c>
      <c r="H313" t="s">
        <v>11</v>
      </c>
      <c r="I313" s="1" t="s">
        <v>1345</v>
      </c>
      <c r="J313" s="7">
        <v>2</v>
      </c>
      <c r="K313" s="7">
        <v>2023</v>
      </c>
      <c r="L313" s="3">
        <v>97512.51</v>
      </c>
      <c r="M313" s="9" t="s">
        <v>1960</v>
      </c>
      <c r="N313" s="2" t="s">
        <v>1863</v>
      </c>
      <c r="O313" s="3">
        <v>6333021259</v>
      </c>
      <c r="P313" t="s">
        <v>20</v>
      </c>
      <c r="Q313">
        <v>3</v>
      </c>
      <c r="R313" t="s">
        <v>1962</v>
      </c>
    </row>
    <row r="314" spans="1:18" x14ac:dyDescent="0.35">
      <c r="A314" t="s">
        <v>343</v>
      </c>
      <c r="B314" t="s">
        <v>17</v>
      </c>
      <c r="C314" t="s">
        <v>14</v>
      </c>
      <c r="D314" t="s">
        <v>1907</v>
      </c>
      <c r="E314" s="3">
        <v>35</v>
      </c>
      <c r="F314" t="s">
        <v>1813</v>
      </c>
      <c r="G314" t="s">
        <v>1818</v>
      </c>
      <c r="H314" t="s">
        <v>23</v>
      </c>
      <c r="I314" s="1" t="s">
        <v>1346</v>
      </c>
      <c r="J314" s="7">
        <v>1</v>
      </c>
      <c r="K314" s="7">
        <v>2024</v>
      </c>
      <c r="L314" s="3">
        <v>86712.41</v>
      </c>
      <c r="M314" s="9" t="s">
        <v>1960</v>
      </c>
      <c r="N314" s="2" t="s">
        <v>1842</v>
      </c>
      <c r="O314" s="3">
        <v>6501917919</v>
      </c>
      <c r="P314" t="s">
        <v>12</v>
      </c>
      <c r="Q314">
        <v>2</v>
      </c>
      <c r="R314" t="s">
        <v>1962</v>
      </c>
    </row>
    <row r="315" spans="1:18" x14ac:dyDescent="0.35">
      <c r="A315" t="s">
        <v>344</v>
      </c>
      <c r="B315" t="s">
        <v>42</v>
      </c>
      <c r="C315" t="s">
        <v>10</v>
      </c>
      <c r="D315" t="s">
        <v>1939</v>
      </c>
      <c r="E315" s="3">
        <v>30</v>
      </c>
      <c r="F315" t="s">
        <v>1823</v>
      </c>
      <c r="G315" t="s">
        <v>1820</v>
      </c>
      <c r="H315" t="s">
        <v>11</v>
      </c>
      <c r="I315" s="1" t="s">
        <v>1347</v>
      </c>
      <c r="J315" s="7">
        <v>1</v>
      </c>
      <c r="K315" s="7">
        <v>2024</v>
      </c>
      <c r="L315" s="3">
        <v>87654.98</v>
      </c>
      <c r="M315" s="9" t="s">
        <v>1960</v>
      </c>
      <c r="N315" s="2" t="s">
        <v>1874</v>
      </c>
      <c r="O315" s="3">
        <v>2521310961</v>
      </c>
      <c r="P315" t="s">
        <v>27</v>
      </c>
      <c r="Q315">
        <v>1</v>
      </c>
      <c r="R315" t="s">
        <v>1963</v>
      </c>
    </row>
    <row r="316" spans="1:18" x14ac:dyDescent="0.35">
      <c r="A316" t="s">
        <v>345</v>
      </c>
      <c r="B316" t="s">
        <v>37</v>
      </c>
      <c r="C316" t="s">
        <v>26</v>
      </c>
      <c r="D316" t="s">
        <v>1902</v>
      </c>
      <c r="E316" s="3">
        <v>35</v>
      </c>
      <c r="F316" t="s">
        <v>1813</v>
      </c>
      <c r="G316" t="s">
        <v>1822</v>
      </c>
      <c r="H316" t="s">
        <v>23</v>
      </c>
      <c r="I316" s="1" t="s">
        <v>1348</v>
      </c>
      <c r="J316" s="7">
        <v>5</v>
      </c>
      <c r="K316" s="7">
        <v>2020</v>
      </c>
      <c r="L316" s="3">
        <v>89367.02</v>
      </c>
      <c r="M316" s="9" t="s">
        <v>1960</v>
      </c>
      <c r="N316" s="2" t="s">
        <v>1837</v>
      </c>
      <c r="O316" s="3">
        <v>2728476569</v>
      </c>
      <c r="P316" t="s">
        <v>27</v>
      </c>
      <c r="Q316">
        <v>1</v>
      </c>
      <c r="R316" t="s">
        <v>1963</v>
      </c>
    </row>
    <row r="317" spans="1:18" x14ac:dyDescent="0.35">
      <c r="A317" t="s">
        <v>346</v>
      </c>
      <c r="B317" t="s">
        <v>34</v>
      </c>
      <c r="C317" t="s">
        <v>29</v>
      </c>
      <c r="D317" t="s">
        <v>1909</v>
      </c>
      <c r="E317" s="3">
        <v>40</v>
      </c>
      <c r="F317" t="s">
        <v>1817</v>
      </c>
      <c r="G317" t="s">
        <v>1814</v>
      </c>
      <c r="H317" t="s">
        <v>11</v>
      </c>
      <c r="I317" s="1" t="s">
        <v>1106</v>
      </c>
      <c r="J317" s="7">
        <v>4</v>
      </c>
      <c r="K317" s="7">
        <v>2021</v>
      </c>
      <c r="L317" s="3">
        <v>95269.41</v>
      </c>
      <c r="M317" s="9" t="s">
        <v>1960</v>
      </c>
      <c r="N317" s="2" t="s">
        <v>1844</v>
      </c>
      <c r="O317" s="3">
        <v>4120092819</v>
      </c>
      <c r="P317" t="s">
        <v>20</v>
      </c>
      <c r="Q317">
        <v>3</v>
      </c>
      <c r="R317" t="s">
        <v>1962</v>
      </c>
    </row>
    <row r="318" spans="1:18" x14ac:dyDescent="0.35">
      <c r="A318" t="s">
        <v>347</v>
      </c>
      <c r="B318" t="s">
        <v>25</v>
      </c>
      <c r="C318" t="s">
        <v>26</v>
      </c>
      <c r="D318" t="s">
        <v>1896</v>
      </c>
      <c r="E318" s="3">
        <v>25</v>
      </c>
      <c r="F318" t="s">
        <v>1821</v>
      </c>
      <c r="G318" t="s">
        <v>1818</v>
      </c>
      <c r="H318" t="s">
        <v>11</v>
      </c>
      <c r="I318" s="1" t="s">
        <v>1349</v>
      </c>
      <c r="J318" s="7">
        <v>5</v>
      </c>
      <c r="K318" s="7">
        <v>2020</v>
      </c>
      <c r="L318" s="3">
        <v>68792.31</v>
      </c>
      <c r="M318" s="9" t="s">
        <v>1959</v>
      </c>
      <c r="N318" s="2" t="s">
        <v>1831</v>
      </c>
      <c r="O318" s="3">
        <v>6678498435</v>
      </c>
      <c r="P318" t="s">
        <v>12</v>
      </c>
      <c r="Q318">
        <v>2</v>
      </c>
      <c r="R318" t="s">
        <v>1963</v>
      </c>
    </row>
    <row r="319" spans="1:18" x14ac:dyDescent="0.35">
      <c r="A319" t="s">
        <v>348</v>
      </c>
      <c r="B319" t="s">
        <v>17</v>
      </c>
      <c r="C319" t="s">
        <v>62</v>
      </c>
      <c r="D319" t="s">
        <v>1933</v>
      </c>
      <c r="E319" s="3">
        <v>25</v>
      </c>
      <c r="F319" t="s">
        <v>1817</v>
      </c>
      <c r="G319" t="s">
        <v>1824</v>
      </c>
      <c r="H319" t="s">
        <v>19</v>
      </c>
      <c r="I319" s="1" t="s">
        <v>1350</v>
      </c>
      <c r="J319" s="7">
        <v>2</v>
      </c>
      <c r="K319" s="7">
        <v>2023</v>
      </c>
      <c r="L319" s="3">
        <v>89119.53</v>
      </c>
      <c r="M319" s="9" t="s">
        <v>1960</v>
      </c>
      <c r="N319" s="2" t="s">
        <v>1868</v>
      </c>
      <c r="O319" s="3">
        <v>2418623689</v>
      </c>
      <c r="P319" t="s">
        <v>20</v>
      </c>
      <c r="Q319">
        <v>3</v>
      </c>
      <c r="R319" t="s">
        <v>1962</v>
      </c>
    </row>
    <row r="320" spans="1:18" x14ac:dyDescent="0.35">
      <c r="A320" t="s">
        <v>349</v>
      </c>
      <c r="B320" t="s">
        <v>25</v>
      </c>
      <c r="C320" t="s">
        <v>10</v>
      </c>
      <c r="D320" t="s">
        <v>1900</v>
      </c>
      <c r="E320" s="3">
        <v>35</v>
      </c>
      <c r="F320" t="s">
        <v>1819</v>
      </c>
      <c r="G320" t="s">
        <v>1822</v>
      </c>
      <c r="H320" t="s">
        <v>11</v>
      </c>
      <c r="I320" s="1" t="s">
        <v>1351</v>
      </c>
      <c r="J320" s="7">
        <v>1</v>
      </c>
      <c r="K320" s="7">
        <v>2024</v>
      </c>
      <c r="L320" s="3">
        <v>58212.13</v>
      </c>
      <c r="M320" s="9" t="s">
        <v>1958</v>
      </c>
      <c r="N320" s="2" t="s">
        <v>1835</v>
      </c>
      <c r="O320" s="3">
        <v>3628917755</v>
      </c>
      <c r="P320" t="s">
        <v>20</v>
      </c>
      <c r="Q320">
        <v>3</v>
      </c>
      <c r="R320" t="s">
        <v>1963</v>
      </c>
    </row>
    <row r="321" spans="1:18" x14ac:dyDescent="0.35">
      <c r="A321" t="s">
        <v>350</v>
      </c>
      <c r="B321" t="s">
        <v>40</v>
      </c>
      <c r="C321" t="s">
        <v>50</v>
      </c>
      <c r="D321" t="s">
        <v>1920</v>
      </c>
      <c r="E321" s="3">
        <v>30</v>
      </c>
      <c r="F321" t="s">
        <v>1813</v>
      </c>
      <c r="G321" t="s">
        <v>1824</v>
      </c>
      <c r="H321" t="s">
        <v>19</v>
      </c>
      <c r="I321" s="1" t="s">
        <v>1352</v>
      </c>
      <c r="J321" s="7">
        <v>4</v>
      </c>
      <c r="K321" s="7">
        <v>2021</v>
      </c>
      <c r="L321" s="3">
        <v>77764.240000000005</v>
      </c>
      <c r="M321" s="9" t="s">
        <v>1959</v>
      </c>
      <c r="N321" s="2" t="s">
        <v>1855</v>
      </c>
      <c r="O321" s="3">
        <v>6205634110</v>
      </c>
      <c r="P321" t="s">
        <v>20</v>
      </c>
      <c r="Q321">
        <v>3</v>
      </c>
      <c r="R321" t="s">
        <v>1962</v>
      </c>
    </row>
    <row r="322" spans="1:18" x14ac:dyDescent="0.35">
      <c r="A322" t="s">
        <v>351</v>
      </c>
      <c r="B322" t="s">
        <v>25</v>
      </c>
      <c r="C322" t="s">
        <v>29</v>
      </c>
      <c r="D322" t="s">
        <v>1932</v>
      </c>
      <c r="E322" s="3">
        <v>35</v>
      </c>
      <c r="F322" t="s">
        <v>1815</v>
      </c>
      <c r="G322" t="s">
        <v>1820</v>
      </c>
      <c r="H322" t="s">
        <v>19</v>
      </c>
      <c r="I322" s="1" t="s">
        <v>1353</v>
      </c>
      <c r="J322" s="7">
        <v>2</v>
      </c>
      <c r="K322" s="7">
        <v>2023</v>
      </c>
      <c r="L322" s="3">
        <v>75148.17</v>
      </c>
      <c r="M322" s="9" t="s">
        <v>1959</v>
      </c>
      <c r="N322" s="2" t="s">
        <v>1867</v>
      </c>
      <c r="O322" s="3">
        <v>5950342810</v>
      </c>
      <c r="P322" t="s">
        <v>12</v>
      </c>
      <c r="Q322">
        <v>2</v>
      </c>
      <c r="R322" t="s">
        <v>1963</v>
      </c>
    </row>
    <row r="323" spans="1:18" x14ac:dyDescent="0.35">
      <c r="A323" t="s">
        <v>352</v>
      </c>
      <c r="B323" t="s">
        <v>40</v>
      </c>
      <c r="C323" t="s">
        <v>18</v>
      </c>
      <c r="D323" t="s">
        <v>1947</v>
      </c>
      <c r="E323" s="3">
        <v>40</v>
      </c>
      <c r="F323" t="s">
        <v>1819</v>
      </c>
      <c r="G323" t="s">
        <v>1818</v>
      </c>
      <c r="H323" t="s">
        <v>23</v>
      </c>
      <c r="I323" s="1" t="s">
        <v>1354</v>
      </c>
      <c r="J323" s="7">
        <v>1</v>
      </c>
      <c r="K323" s="7">
        <v>2024</v>
      </c>
      <c r="L323" s="3">
        <v>108781.18</v>
      </c>
      <c r="M323" s="9" t="s">
        <v>1960</v>
      </c>
      <c r="N323" s="2" t="s">
        <v>1882</v>
      </c>
      <c r="O323" s="3">
        <v>3904383033</v>
      </c>
      <c r="P323" t="s">
        <v>27</v>
      </c>
      <c r="Q323">
        <v>1</v>
      </c>
      <c r="R323" t="s">
        <v>1963</v>
      </c>
    </row>
    <row r="324" spans="1:18" x14ac:dyDescent="0.35">
      <c r="A324" t="s">
        <v>353</v>
      </c>
      <c r="B324" t="s">
        <v>25</v>
      </c>
      <c r="C324" t="s">
        <v>14</v>
      </c>
      <c r="D324" t="s">
        <v>1940</v>
      </c>
      <c r="E324" s="3">
        <v>35</v>
      </c>
      <c r="F324" t="s">
        <v>1815</v>
      </c>
      <c r="G324" t="s">
        <v>1816</v>
      </c>
      <c r="H324" t="s">
        <v>19</v>
      </c>
      <c r="I324" s="1" t="s">
        <v>1237</v>
      </c>
      <c r="J324" s="7">
        <v>1</v>
      </c>
      <c r="K324" s="7">
        <v>2024</v>
      </c>
      <c r="L324" s="3">
        <v>65489.19</v>
      </c>
      <c r="M324" s="9" t="s">
        <v>1959</v>
      </c>
      <c r="N324" s="2" t="s">
        <v>1875</v>
      </c>
      <c r="O324" s="3">
        <v>1990970050</v>
      </c>
      <c r="P324" t="s">
        <v>12</v>
      </c>
      <c r="Q324">
        <v>2</v>
      </c>
      <c r="R324" t="s">
        <v>1962</v>
      </c>
    </row>
    <row r="325" spans="1:18" x14ac:dyDescent="0.35">
      <c r="A325" t="s">
        <v>354</v>
      </c>
      <c r="B325" t="s">
        <v>22</v>
      </c>
      <c r="C325" t="s">
        <v>35</v>
      </c>
      <c r="D325" t="s">
        <v>1948</v>
      </c>
      <c r="E325" s="3">
        <v>30</v>
      </c>
      <c r="F325" t="s">
        <v>1821</v>
      </c>
      <c r="G325" t="s">
        <v>1824</v>
      </c>
      <c r="H325" t="s">
        <v>19</v>
      </c>
      <c r="I325" s="1" t="s">
        <v>1355</v>
      </c>
      <c r="J325" s="7">
        <v>3</v>
      </c>
      <c r="K325" s="7">
        <v>2022</v>
      </c>
      <c r="L325" s="3">
        <v>70663.460000000006</v>
      </c>
      <c r="M325" s="9" t="s">
        <v>1959</v>
      </c>
      <c r="N325" s="2" t="s">
        <v>1883</v>
      </c>
      <c r="O325" s="3">
        <v>4054683564</v>
      </c>
      <c r="P325" t="s">
        <v>15</v>
      </c>
      <c r="Q325">
        <v>4</v>
      </c>
      <c r="R325" t="s">
        <v>1963</v>
      </c>
    </row>
    <row r="326" spans="1:18" x14ac:dyDescent="0.35">
      <c r="A326" t="s">
        <v>355</v>
      </c>
      <c r="B326" t="s">
        <v>37</v>
      </c>
      <c r="C326" t="s">
        <v>50</v>
      </c>
      <c r="D326" t="s">
        <v>1913</v>
      </c>
      <c r="E326" s="3">
        <v>40</v>
      </c>
      <c r="F326" t="s">
        <v>1821</v>
      </c>
      <c r="G326" t="s">
        <v>1822</v>
      </c>
      <c r="H326" t="s">
        <v>23</v>
      </c>
      <c r="I326" s="1" t="s">
        <v>1356</v>
      </c>
      <c r="J326" s="7">
        <v>2</v>
      </c>
      <c r="K326" s="7">
        <v>2023</v>
      </c>
      <c r="L326" s="3">
        <v>95822.56</v>
      </c>
      <c r="M326" s="9" t="s">
        <v>1960</v>
      </c>
      <c r="N326" s="2" t="s">
        <v>1848</v>
      </c>
      <c r="O326" s="3">
        <v>2156818208</v>
      </c>
      <c r="P326" t="s">
        <v>12</v>
      </c>
      <c r="Q326">
        <v>2</v>
      </c>
      <c r="R326" t="s">
        <v>1963</v>
      </c>
    </row>
    <row r="327" spans="1:18" x14ac:dyDescent="0.35">
      <c r="A327" t="s">
        <v>356</v>
      </c>
      <c r="B327" t="s">
        <v>22</v>
      </c>
      <c r="C327" t="s">
        <v>50</v>
      </c>
      <c r="D327" t="s">
        <v>1943</v>
      </c>
      <c r="E327" s="3">
        <v>40</v>
      </c>
      <c r="F327" t="s">
        <v>1813</v>
      </c>
      <c r="G327" t="s">
        <v>1818</v>
      </c>
      <c r="H327" t="s">
        <v>19</v>
      </c>
      <c r="I327" s="1" t="s">
        <v>1357</v>
      </c>
      <c r="J327" s="7">
        <v>3</v>
      </c>
      <c r="K327" s="7">
        <v>2022</v>
      </c>
      <c r="L327" s="3">
        <v>82258.03</v>
      </c>
      <c r="M327" s="9" t="s">
        <v>1959</v>
      </c>
      <c r="N327" s="2" t="s">
        <v>1878</v>
      </c>
      <c r="O327" s="3">
        <v>6790422710</v>
      </c>
      <c r="P327" t="s">
        <v>12</v>
      </c>
      <c r="Q327">
        <v>2</v>
      </c>
      <c r="R327" t="s">
        <v>1962</v>
      </c>
    </row>
    <row r="328" spans="1:18" x14ac:dyDescent="0.35">
      <c r="A328" t="s">
        <v>357</v>
      </c>
      <c r="B328" t="s">
        <v>25</v>
      </c>
      <c r="C328" t="s">
        <v>26</v>
      </c>
      <c r="D328" t="s">
        <v>1896</v>
      </c>
      <c r="E328" s="3">
        <v>30</v>
      </c>
      <c r="F328" t="s">
        <v>1817</v>
      </c>
      <c r="G328" t="s">
        <v>1818</v>
      </c>
      <c r="H328" t="s">
        <v>19</v>
      </c>
      <c r="I328" s="1" t="s">
        <v>1358</v>
      </c>
      <c r="J328" s="7">
        <v>3</v>
      </c>
      <c r="K328" s="7">
        <v>2022</v>
      </c>
      <c r="L328" s="3">
        <v>62883.34</v>
      </c>
      <c r="M328" s="9" t="s">
        <v>1959</v>
      </c>
      <c r="N328" s="2" t="s">
        <v>1831</v>
      </c>
      <c r="O328" s="3">
        <v>3322889856</v>
      </c>
      <c r="P328" t="s">
        <v>12</v>
      </c>
      <c r="Q328">
        <v>2</v>
      </c>
      <c r="R328" t="s">
        <v>1963</v>
      </c>
    </row>
    <row r="329" spans="1:18" x14ac:dyDescent="0.35">
      <c r="A329" t="s">
        <v>358</v>
      </c>
      <c r="B329" t="s">
        <v>17</v>
      </c>
      <c r="C329" t="s">
        <v>10</v>
      </c>
      <c r="D329" t="s">
        <v>1928</v>
      </c>
      <c r="E329" s="3">
        <v>30</v>
      </c>
      <c r="F329" t="s">
        <v>1819</v>
      </c>
      <c r="G329" t="s">
        <v>1816</v>
      </c>
      <c r="H329" t="s">
        <v>19</v>
      </c>
      <c r="I329" s="1" t="s">
        <v>1359</v>
      </c>
      <c r="J329" s="7">
        <v>5</v>
      </c>
      <c r="K329" s="7">
        <v>2020</v>
      </c>
      <c r="L329" s="3">
        <v>103503.72</v>
      </c>
      <c r="M329" s="9" t="s">
        <v>1960</v>
      </c>
      <c r="N329" s="2" t="s">
        <v>1863</v>
      </c>
      <c r="O329" s="3">
        <v>2545960632</v>
      </c>
      <c r="P329" t="s">
        <v>12</v>
      </c>
      <c r="Q329">
        <v>2</v>
      </c>
      <c r="R329" t="s">
        <v>1962</v>
      </c>
    </row>
    <row r="330" spans="1:18" x14ac:dyDescent="0.35">
      <c r="A330" t="s">
        <v>359</v>
      </c>
      <c r="B330" t="s">
        <v>37</v>
      </c>
      <c r="C330" t="s">
        <v>29</v>
      </c>
      <c r="D330" t="s">
        <v>1912</v>
      </c>
      <c r="E330" s="3">
        <v>25</v>
      </c>
      <c r="F330" t="s">
        <v>1813</v>
      </c>
      <c r="G330" t="s">
        <v>1822</v>
      </c>
      <c r="H330" t="s">
        <v>11</v>
      </c>
      <c r="I330" s="1" t="s">
        <v>1360</v>
      </c>
      <c r="J330" s="7">
        <v>4</v>
      </c>
      <c r="K330" s="7">
        <v>2021</v>
      </c>
      <c r="L330" s="3">
        <v>85401.3</v>
      </c>
      <c r="M330" s="9" t="s">
        <v>1960</v>
      </c>
      <c r="N330" s="2" t="s">
        <v>1847</v>
      </c>
      <c r="O330" s="3">
        <v>9912971023</v>
      </c>
      <c r="P330" t="s">
        <v>27</v>
      </c>
      <c r="Q330">
        <v>1</v>
      </c>
      <c r="R330" t="s">
        <v>1962</v>
      </c>
    </row>
    <row r="331" spans="1:18" x14ac:dyDescent="0.35">
      <c r="A331" t="s">
        <v>360</v>
      </c>
      <c r="B331" t="s">
        <v>40</v>
      </c>
      <c r="C331" t="s">
        <v>29</v>
      </c>
      <c r="D331" t="s">
        <v>1942</v>
      </c>
      <c r="E331" s="3">
        <v>40</v>
      </c>
      <c r="F331" t="s">
        <v>1819</v>
      </c>
      <c r="G331" t="s">
        <v>1816</v>
      </c>
      <c r="H331" t="s">
        <v>19</v>
      </c>
      <c r="I331" s="1" t="s">
        <v>1361</v>
      </c>
      <c r="J331" s="7">
        <v>2</v>
      </c>
      <c r="K331" s="7">
        <v>2023</v>
      </c>
      <c r="L331" s="3">
        <v>0</v>
      </c>
      <c r="M331" s="9" t="s">
        <v>1958</v>
      </c>
      <c r="N331" s="2" t="s">
        <v>1877</v>
      </c>
      <c r="O331" s="3">
        <v>8171752420</v>
      </c>
      <c r="P331" t="s">
        <v>15</v>
      </c>
      <c r="Q331">
        <v>4</v>
      </c>
      <c r="R331" t="s">
        <v>1963</v>
      </c>
    </row>
    <row r="332" spans="1:18" x14ac:dyDescent="0.35">
      <c r="A332" t="s">
        <v>361</v>
      </c>
      <c r="B332" t="s">
        <v>22</v>
      </c>
      <c r="C332" t="s">
        <v>62</v>
      </c>
      <c r="D332" t="s">
        <v>1955</v>
      </c>
      <c r="E332" s="3">
        <v>30</v>
      </c>
      <c r="F332" t="s">
        <v>1823</v>
      </c>
      <c r="G332" t="s">
        <v>1816</v>
      </c>
      <c r="H332" t="s">
        <v>19</v>
      </c>
      <c r="I332" s="1" t="s">
        <v>1362</v>
      </c>
      <c r="J332" s="7">
        <v>1</v>
      </c>
      <c r="K332" s="7">
        <v>2024</v>
      </c>
      <c r="L332" s="3">
        <v>98850.14</v>
      </c>
      <c r="M332" s="9" t="s">
        <v>1960</v>
      </c>
      <c r="N332" s="2" t="s">
        <v>1890</v>
      </c>
      <c r="O332" s="3">
        <v>4955112746</v>
      </c>
      <c r="P332" t="s">
        <v>27</v>
      </c>
      <c r="Q332">
        <v>1</v>
      </c>
      <c r="R332" t="s">
        <v>1963</v>
      </c>
    </row>
    <row r="333" spans="1:18" x14ac:dyDescent="0.35">
      <c r="A333" t="s">
        <v>362</v>
      </c>
      <c r="B333" t="s">
        <v>34</v>
      </c>
      <c r="C333" t="s">
        <v>62</v>
      </c>
      <c r="D333" t="s">
        <v>1934</v>
      </c>
      <c r="E333" s="3">
        <v>25</v>
      </c>
      <c r="F333" t="s">
        <v>1819</v>
      </c>
      <c r="G333" t="s">
        <v>1824</v>
      </c>
      <c r="H333" t="s">
        <v>11</v>
      </c>
      <c r="I333" s="1" t="s">
        <v>1071</v>
      </c>
      <c r="J333" s="7">
        <v>4</v>
      </c>
      <c r="K333" s="7">
        <v>2021</v>
      </c>
      <c r="L333" s="3">
        <v>63435.24</v>
      </c>
      <c r="M333" s="9" t="s">
        <v>1959</v>
      </c>
      <c r="N333" s="2" t="s">
        <v>1869</v>
      </c>
      <c r="O333" s="3">
        <v>4721970545</v>
      </c>
      <c r="P333" t="s">
        <v>27</v>
      </c>
      <c r="Q333">
        <v>1</v>
      </c>
      <c r="R333" t="s">
        <v>1963</v>
      </c>
    </row>
    <row r="334" spans="1:18" x14ac:dyDescent="0.35">
      <c r="A334" t="s">
        <v>363</v>
      </c>
      <c r="B334" t="s">
        <v>25</v>
      </c>
      <c r="C334" t="s">
        <v>14</v>
      </c>
      <c r="D334" t="s">
        <v>1940</v>
      </c>
      <c r="E334" s="3">
        <v>35</v>
      </c>
      <c r="F334" t="s">
        <v>1815</v>
      </c>
      <c r="G334" t="s">
        <v>1816</v>
      </c>
      <c r="H334" t="s">
        <v>23</v>
      </c>
      <c r="I334" s="1" t="s">
        <v>1363</v>
      </c>
      <c r="J334" s="7">
        <v>3</v>
      </c>
      <c r="K334" s="7">
        <v>2022</v>
      </c>
      <c r="L334" s="3">
        <v>82129.84</v>
      </c>
      <c r="M334" s="9" t="s">
        <v>1959</v>
      </c>
      <c r="N334" s="2" t="s">
        <v>1875</v>
      </c>
      <c r="O334" s="3">
        <v>6927589550</v>
      </c>
      <c r="P334" t="s">
        <v>12</v>
      </c>
      <c r="Q334">
        <v>2</v>
      </c>
      <c r="R334" t="s">
        <v>1963</v>
      </c>
    </row>
    <row r="335" spans="1:18" x14ac:dyDescent="0.35">
      <c r="A335" t="s">
        <v>364</v>
      </c>
      <c r="B335" t="s">
        <v>37</v>
      </c>
      <c r="C335" t="s">
        <v>26</v>
      </c>
      <c r="D335" t="s">
        <v>1902</v>
      </c>
      <c r="E335" s="3">
        <v>35</v>
      </c>
      <c r="F335" t="s">
        <v>1813</v>
      </c>
      <c r="G335" t="s">
        <v>1816</v>
      </c>
      <c r="H335" t="s">
        <v>19</v>
      </c>
      <c r="I335" s="1" t="s">
        <v>1364</v>
      </c>
      <c r="J335" s="7">
        <v>1</v>
      </c>
      <c r="K335" s="7">
        <v>2024</v>
      </c>
      <c r="L335" s="3">
        <v>95492.61</v>
      </c>
      <c r="M335" s="9" t="s">
        <v>1960</v>
      </c>
      <c r="N335" s="2" t="s">
        <v>1837</v>
      </c>
      <c r="O335" s="3">
        <v>6874090379</v>
      </c>
      <c r="P335" t="s">
        <v>20</v>
      </c>
      <c r="Q335">
        <v>3</v>
      </c>
      <c r="R335" t="s">
        <v>1963</v>
      </c>
    </row>
    <row r="336" spans="1:18" x14ac:dyDescent="0.35">
      <c r="A336" t="s">
        <v>365</v>
      </c>
      <c r="B336" t="s">
        <v>42</v>
      </c>
      <c r="C336" t="s">
        <v>50</v>
      </c>
      <c r="D336" t="s">
        <v>1930</v>
      </c>
      <c r="E336" s="3">
        <v>40</v>
      </c>
      <c r="F336" t="s">
        <v>1815</v>
      </c>
      <c r="G336" t="s">
        <v>1824</v>
      </c>
      <c r="H336" t="s">
        <v>23</v>
      </c>
      <c r="I336" s="1" t="s">
        <v>1365</v>
      </c>
      <c r="J336" s="7">
        <v>5</v>
      </c>
      <c r="K336" s="7">
        <v>2020</v>
      </c>
      <c r="L336" s="3">
        <v>94572.37</v>
      </c>
      <c r="M336" s="9" t="s">
        <v>1960</v>
      </c>
      <c r="N336" s="2" t="s">
        <v>1865</v>
      </c>
      <c r="O336" s="3">
        <v>2146296135</v>
      </c>
      <c r="P336" t="s">
        <v>20</v>
      </c>
      <c r="Q336">
        <v>3</v>
      </c>
      <c r="R336" t="s">
        <v>1963</v>
      </c>
    </row>
    <row r="337" spans="1:18" x14ac:dyDescent="0.35">
      <c r="A337" t="s">
        <v>366</v>
      </c>
      <c r="B337" t="s">
        <v>9</v>
      </c>
      <c r="C337" t="s">
        <v>29</v>
      </c>
      <c r="D337" t="s">
        <v>1926</v>
      </c>
      <c r="E337" s="3">
        <v>40</v>
      </c>
      <c r="F337" t="s">
        <v>1815</v>
      </c>
      <c r="G337" t="s">
        <v>1818</v>
      </c>
      <c r="H337" t="s">
        <v>23</v>
      </c>
      <c r="I337" s="1" t="s">
        <v>1366</v>
      </c>
      <c r="J337" s="7">
        <v>2</v>
      </c>
      <c r="K337" s="7">
        <v>2023</v>
      </c>
      <c r="L337" s="3">
        <v>118413.05</v>
      </c>
      <c r="M337" s="9" t="s">
        <v>1960</v>
      </c>
      <c r="N337" s="2" t="s">
        <v>1861</v>
      </c>
      <c r="O337" s="3">
        <v>7157787111</v>
      </c>
      <c r="P337" t="s">
        <v>27</v>
      </c>
      <c r="Q337">
        <v>1</v>
      </c>
      <c r="R337" t="s">
        <v>1963</v>
      </c>
    </row>
    <row r="338" spans="1:18" x14ac:dyDescent="0.35">
      <c r="A338" t="s">
        <v>367</v>
      </c>
      <c r="B338" t="s">
        <v>17</v>
      </c>
      <c r="C338" t="s">
        <v>18</v>
      </c>
      <c r="D338" t="s">
        <v>1894</v>
      </c>
      <c r="E338" s="3">
        <v>30</v>
      </c>
      <c r="F338" t="s">
        <v>1817</v>
      </c>
      <c r="G338" t="s">
        <v>1818</v>
      </c>
      <c r="H338" t="s">
        <v>19</v>
      </c>
      <c r="I338" s="1" t="s">
        <v>1367</v>
      </c>
      <c r="J338" s="7">
        <v>3</v>
      </c>
      <c r="K338" s="7">
        <v>2022</v>
      </c>
      <c r="L338" s="3">
        <v>68976.649999999994</v>
      </c>
      <c r="M338" s="9" t="s">
        <v>1959</v>
      </c>
      <c r="N338" s="2" t="s">
        <v>1829</v>
      </c>
      <c r="O338" s="3">
        <v>1663651558</v>
      </c>
      <c r="P338" t="s">
        <v>27</v>
      </c>
      <c r="Q338">
        <v>1</v>
      </c>
      <c r="R338" t="s">
        <v>1962</v>
      </c>
    </row>
    <row r="339" spans="1:18" x14ac:dyDescent="0.35">
      <c r="A339" t="s">
        <v>368</v>
      </c>
      <c r="B339" t="s">
        <v>22</v>
      </c>
      <c r="C339" t="s">
        <v>26</v>
      </c>
      <c r="D339" t="s">
        <v>1923</v>
      </c>
      <c r="E339" s="3">
        <v>30</v>
      </c>
      <c r="F339" t="s">
        <v>1821</v>
      </c>
      <c r="G339" t="s">
        <v>1818</v>
      </c>
      <c r="H339" t="s">
        <v>11</v>
      </c>
      <c r="I339" s="1" t="s">
        <v>1368</v>
      </c>
      <c r="J339" s="7">
        <v>4</v>
      </c>
      <c r="K339" s="7">
        <v>2021</v>
      </c>
      <c r="L339" s="3">
        <v>115013.65</v>
      </c>
      <c r="M339" s="9" t="s">
        <v>1960</v>
      </c>
      <c r="N339" s="2" t="s">
        <v>1858</v>
      </c>
      <c r="O339" s="3">
        <v>7371470826</v>
      </c>
      <c r="P339" t="s">
        <v>12</v>
      </c>
      <c r="Q339">
        <v>2</v>
      </c>
      <c r="R339" t="s">
        <v>1963</v>
      </c>
    </row>
    <row r="340" spans="1:18" x14ac:dyDescent="0.35">
      <c r="A340" t="s">
        <v>369</v>
      </c>
      <c r="B340" t="s">
        <v>37</v>
      </c>
      <c r="C340" t="s">
        <v>14</v>
      </c>
      <c r="D340" t="s">
        <v>1938</v>
      </c>
      <c r="E340" s="3">
        <v>30</v>
      </c>
      <c r="F340" t="s">
        <v>1817</v>
      </c>
      <c r="G340" t="s">
        <v>1818</v>
      </c>
      <c r="H340" t="s">
        <v>23</v>
      </c>
      <c r="I340" s="1" t="s">
        <v>1369</v>
      </c>
      <c r="J340" s="7">
        <v>5</v>
      </c>
      <c r="K340" s="7">
        <v>2020</v>
      </c>
      <c r="L340" s="3">
        <v>70949.38</v>
      </c>
      <c r="M340" s="9" t="s">
        <v>1959</v>
      </c>
      <c r="N340" s="2" t="s">
        <v>1873</v>
      </c>
      <c r="O340" s="3">
        <v>2359096055</v>
      </c>
      <c r="P340" t="s">
        <v>27</v>
      </c>
      <c r="Q340">
        <v>1</v>
      </c>
      <c r="R340" t="s">
        <v>1962</v>
      </c>
    </row>
    <row r="341" spans="1:18" x14ac:dyDescent="0.35">
      <c r="A341" t="s">
        <v>370</v>
      </c>
      <c r="B341" t="s">
        <v>42</v>
      </c>
      <c r="C341" t="s">
        <v>14</v>
      </c>
      <c r="D341" t="s">
        <v>1936</v>
      </c>
      <c r="E341" s="3">
        <v>30</v>
      </c>
      <c r="F341" t="s">
        <v>1823</v>
      </c>
      <c r="G341" t="s">
        <v>1820</v>
      </c>
      <c r="H341" t="s">
        <v>19</v>
      </c>
      <c r="I341" s="1" t="s">
        <v>1197</v>
      </c>
      <c r="J341" s="7">
        <v>5</v>
      </c>
      <c r="K341" s="7">
        <v>2020</v>
      </c>
      <c r="L341" s="3">
        <v>105334.87</v>
      </c>
      <c r="M341" s="9" t="s">
        <v>1960</v>
      </c>
      <c r="N341" s="2" t="s">
        <v>1871</v>
      </c>
      <c r="O341" s="3">
        <v>7303064420</v>
      </c>
      <c r="P341" t="s">
        <v>12</v>
      </c>
      <c r="Q341">
        <v>2</v>
      </c>
      <c r="R341" t="s">
        <v>1963</v>
      </c>
    </row>
    <row r="342" spans="1:18" x14ac:dyDescent="0.35">
      <c r="A342" t="s">
        <v>371</v>
      </c>
      <c r="B342" t="s">
        <v>9</v>
      </c>
      <c r="C342" t="s">
        <v>26</v>
      </c>
      <c r="D342" t="s">
        <v>1924</v>
      </c>
      <c r="E342" s="3">
        <v>30</v>
      </c>
      <c r="F342" t="s">
        <v>1813</v>
      </c>
      <c r="G342" t="s">
        <v>1814</v>
      </c>
      <c r="H342" t="s">
        <v>11</v>
      </c>
      <c r="I342" s="1" t="s">
        <v>1370</v>
      </c>
      <c r="J342" s="7">
        <v>5</v>
      </c>
      <c r="K342" s="7">
        <v>2020</v>
      </c>
      <c r="L342" s="3">
        <v>80596.179999999993</v>
      </c>
      <c r="M342" s="9" t="s">
        <v>1959</v>
      </c>
      <c r="N342" s="2" t="s">
        <v>1859</v>
      </c>
      <c r="O342" s="3">
        <v>2146147682</v>
      </c>
      <c r="P342" t="s">
        <v>20</v>
      </c>
      <c r="Q342">
        <v>3</v>
      </c>
      <c r="R342" t="s">
        <v>1963</v>
      </c>
    </row>
    <row r="343" spans="1:18" x14ac:dyDescent="0.35">
      <c r="A343" t="s">
        <v>372</v>
      </c>
      <c r="B343" t="s">
        <v>25</v>
      </c>
      <c r="C343" t="s">
        <v>14</v>
      </c>
      <c r="D343" t="s">
        <v>1940</v>
      </c>
      <c r="E343" s="3">
        <v>30</v>
      </c>
      <c r="F343" t="s">
        <v>1821</v>
      </c>
      <c r="G343" t="s">
        <v>1824</v>
      </c>
      <c r="H343" t="s">
        <v>23</v>
      </c>
      <c r="I343" s="1" t="s">
        <v>1371</v>
      </c>
      <c r="J343" s="7">
        <v>1</v>
      </c>
      <c r="K343" s="7">
        <v>2024</v>
      </c>
      <c r="L343" s="3">
        <v>72846.37</v>
      </c>
      <c r="M343" s="9" t="s">
        <v>1959</v>
      </c>
      <c r="N343" s="2" t="s">
        <v>1875</v>
      </c>
      <c r="O343" s="3">
        <v>4201654234</v>
      </c>
      <c r="P343" t="s">
        <v>20</v>
      </c>
      <c r="Q343">
        <v>3</v>
      </c>
      <c r="R343" t="s">
        <v>1962</v>
      </c>
    </row>
    <row r="344" spans="1:18" x14ac:dyDescent="0.35">
      <c r="A344" t="s">
        <v>373</v>
      </c>
      <c r="B344" t="s">
        <v>40</v>
      </c>
      <c r="C344" t="s">
        <v>26</v>
      </c>
      <c r="D344" t="s">
        <v>1904</v>
      </c>
      <c r="E344" s="3">
        <v>40</v>
      </c>
      <c r="F344" t="s">
        <v>1817</v>
      </c>
      <c r="G344" t="s">
        <v>1814</v>
      </c>
      <c r="H344" t="s">
        <v>19</v>
      </c>
      <c r="I344" s="1" t="s">
        <v>1372</v>
      </c>
      <c r="J344" s="7">
        <v>3</v>
      </c>
      <c r="K344" s="7">
        <v>2022</v>
      </c>
      <c r="L344" s="3">
        <v>80229.36</v>
      </c>
      <c r="M344" s="9" t="s">
        <v>1959</v>
      </c>
      <c r="N344" s="2" t="s">
        <v>1839</v>
      </c>
      <c r="O344" s="3">
        <v>6778265959</v>
      </c>
      <c r="P344" t="s">
        <v>15</v>
      </c>
      <c r="Q344">
        <v>4</v>
      </c>
      <c r="R344" t="s">
        <v>1963</v>
      </c>
    </row>
    <row r="345" spans="1:18" x14ac:dyDescent="0.35">
      <c r="A345" t="s">
        <v>374</v>
      </c>
      <c r="B345" t="s">
        <v>42</v>
      </c>
      <c r="C345" t="s">
        <v>35</v>
      </c>
      <c r="D345" t="s">
        <v>1919</v>
      </c>
      <c r="E345" s="3">
        <v>25</v>
      </c>
      <c r="F345" t="s">
        <v>1821</v>
      </c>
      <c r="G345" t="s">
        <v>1814</v>
      </c>
      <c r="H345" t="s">
        <v>11</v>
      </c>
      <c r="I345" s="1" t="s">
        <v>1373</v>
      </c>
      <c r="J345" s="7">
        <v>1</v>
      </c>
      <c r="K345" s="7">
        <v>2023</v>
      </c>
      <c r="L345" s="3">
        <v>55145.47</v>
      </c>
      <c r="M345" s="9" t="s">
        <v>1958</v>
      </c>
      <c r="N345" s="2" t="s">
        <v>1854</v>
      </c>
      <c r="O345" s="3">
        <v>8931992549</v>
      </c>
      <c r="P345" t="s">
        <v>20</v>
      </c>
      <c r="Q345">
        <v>3</v>
      </c>
      <c r="R345" t="s">
        <v>1963</v>
      </c>
    </row>
    <row r="346" spans="1:18" x14ac:dyDescent="0.35">
      <c r="A346" t="s">
        <v>375</v>
      </c>
      <c r="B346" t="s">
        <v>42</v>
      </c>
      <c r="C346" t="s">
        <v>26</v>
      </c>
      <c r="D346" t="s">
        <v>1905</v>
      </c>
      <c r="E346" s="3">
        <v>30</v>
      </c>
      <c r="F346" t="s">
        <v>1813</v>
      </c>
      <c r="G346" t="s">
        <v>1820</v>
      </c>
      <c r="H346" t="s">
        <v>23</v>
      </c>
      <c r="I346" s="1" t="s">
        <v>1374</v>
      </c>
      <c r="J346" s="7">
        <v>3</v>
      </c>
      <c r="K346" s="7">
        <v>2022</v>
      </c>
      <c r="L346" s="3">
        <v>0</v>
      </c>
      <c r="M346" s="9" t="s">
        <v>1958</v>
      </c>
      <c r="N346" s="2" t="s">
        <v>1840</v>
      </c>
      <c r="O346" s="3">
        <v>2727516479</v>
      </c>
      <c r="P346" t="s">
        <v>27</v>
      </c>
      <c r="Q346">
        <v>1</v>
      </c>
      <c r="R346" t="s">
        <v>1962</v>
      </c>
    </row>
    <row r="347" spans="1:18" x14ac:dyDescent="0.35">
      <c r="A347" t="s">
        <v>376</v>
      </c>
      <c r="B347" t="s">
        <v>22</v>
      </c>
      <c r="C347" t="s">
        <v>10</v>
      </c>
      <c r="D347" t="s">
        <v>1895</v>
      </c>
      <c r="E347" s="3">
        <v>40</v>
      </c>
      <c r="F347" t="s">
        <v>1823</v>
      </c>
      <c r="G347" t="s">
        <v>1814</v>
      </c>
      <c r="H347" t="s">
        <v>11</v>
      </c>
      <c r="I347" s="1" t="s">
        <v>1375</v>
      </c>
      <c r="J347" s="7">
        <v>5</v>
      </c>
      <c r="K347" s="7">
        <v>2020</v>
      </c>
      <c r="L347" s="3">
        <v>56110.81</v>
      </c>
      <c r="M347" s="9" t="s">
        <v>1958</v>
      </c>
      <c r="N347" s="2" t="s">
        <v>1830</v>
      </c>
      <c r="O347" s="3">
        <v>7279103367</v>
      </c>
      <c r="P347" t="s">
        <v>20</v>
      </c>
      <c r="Q347">
        <v>3</v>
      </c>
      <c r="R347" t="s">
        <v>1963</v>
      </c>
    </row>
    <row r="348" spans="1:18" x14ac:dyDescent="0.35">
      <c r="A348" t="s">
        <v>377</v>
      </c>
      <c r="B348" t="s">
        <v>42</v>
      </c>
      <c r="C348" t="s">
        <v>26</v>
      </c>
      <c r="D348" t="s">
        <v>1905</v>
      </c>
      <c r="E348" s="3">
        <v>25</v>
      </c>
      <c r="F348" t="s">
        <v>1819</v>
      </c>
      <c r="G348" t="s">
        <v>1816</v>
      </c>
      <c r="H348" t="s">
        <v>23</v>
      </c>
      <c r="I348" s="1" t="s">
        <v>1376</v>
      </c>
      <c r="J348" s="7">
        <v>2</v>
      </c>
      <c r="K348" s="7">
        <v>2023</v>
      </c>
      <c r="L348" s="3">
        <v>56514.5</v>
      </c>
      <c r="M348" s="9" t="s">
        <v>1958</v>
      </c>
      <c r="N348" s="2" t="s">
        <v>1840</v>
      </c>
      <c r="O348" s="3">
        <v>2963533904</v>
      </c>
      <c r="P348" t="s">
        <v>12</v>
      </c>
      <c r="Q348">
        <v>2</v>
      </c>
      <c r="R348" t="s">
        <v>1963</v>
      </c>
    </row>
    <row r="349" spans="1:18" x14ac:dyDescent="0.35">
      <c r="A349" t="s">
        <v>378</v>
      </c>
      <c r="B349" t="s">
        <v>25</v>
      </c>
      <c r="C349" t="s">
        <v>14</v>
      </c>
      <c r="D349" t="s">
        <v>1940</v>
      </c>
      <c r="E349" s="3">
        <v>40</v>
      </c>
      <c r="F349" t="s">
        <v>1819</v>
      </c>
      <c r="G349" t="s">
        <v>1814</v>
      </c>
      <c r="H349" t="s">
        <v>23</v>
      </c>
      <c r="I349" s="1" t="s">
        <v>1377</v>
      </c>
      <c r="J349" s="7">
        <v>3</v>
      </c>
      <c r="K349" s="7">
        <v>2022</v>
      </c>
      <c r="L349" s="3">
        <v>104541.84</v>
      </c>
      <c r="M349" s="9" t="s">
        <v>1960</v>
      </c>
      <c r="N349" s="2" t="s">
        <v>1875</v>
      </c>
      <c r="O349" s="3">
        <v>5044817765</v>
      </c>
      <c r="P349" t="s">
        <v>20</v>
      </c>
      <c r="Q349">
        <v>3</v>
      </c>
      <c r="R349" t="s">
        <v>1963</v>
      </c>
    </row>
    <row r="350" spans="1:18" x14ac:dyDescent="0.35">
      <c r="A350" t="s">
        <v>379</v>
      </c>
      <c r="B350" t="s">
        <v>37</v>
      </c>
      <c r="C350" t="s">
        <v>29</v>
      </c>
      <c r="D350" t="s">
        <v>1912</v>
      </c>
      <c r="E350" s="3">
        <v>30</v>
      </c>
      <c r="F350" t="s">
        <v>1821</v>
      </c>
      <c r="G350" t="s">
        <v>1822</v>
      </c>
      <c r="H350" t="s">
        <v>19</v>
      </c>
      <c r="I350" s="1" t="s">
        <v>1378</v>
      </c>
      <c r="J350" s="7">
        <v>3</v>
      </c>
      <c r="K350" s="7">
        <v>2022</v>
      </c>
      <c r="L350" s="3">
        <v>61865.120000000003</v>
      </c>
      <c r="M350" s="9" t="s">
        <v>1959</v>
      </c>
      <c r="N350" s="2" t="s">
        <v>1847</v>
      </c>
      <c r="O350" s="3">
        <v>5586851275</v>
      </c>
      <c r="P350" t="s">
        <v>15</v>
      </c>
      <c r="Q350">
        <v>4</v>
      </c>
      <c r="R350" t="s">
        <v>1962</v>
      </c>
    </row>
    <row r="351" spans="1:18" x14ac:dyDescent="0.35">
      <c r="A351" t="s">
        <v>380</v>
      </c>
      <c r="B351" t="s">
        <v>22</v>
      </c>
      <c r="C351" t="s">
        <v>10</v>
      </c>
      <c r="D351" t="s">
        <v>1895</v>
      </c>
      <c r="E351" s="3">
        <v>40</v>
      </c>
      <c r="F351" t="s">
        <v>1817</v>
      </c>
      <c r="G351" t="s">
        <v>1816</v>
      </c>
      <c r="H351" t="s">
        <v>11</v>
      </c>
      <c r="I351" s="1" t="s">
        <v>1379</v>
      </c>
      <c r="J351" s="7">
        <v>3</v>
      </c>
      <c r="K351" s="7">
        <v>2022</v>
      </c>
      <c r="L351" s="3">
        <v>69317.33</v>
      </c>
      <c r="M351" s="9" t="s">
        <v>1959</v>
      </c>
      <c r="N351" s="2" t="s">
        <v>1830</v>
      </c>
      <c r="O351" s="3">
        <v>5289286645</v>
      </c>
      <c r="P351" t="s">
        <v>20</v>
      </c>
      <c r="Q351">
        <v>3</v>
      </c>
      <c r="R351" t="s">
        <v>1963</v>
      </c>
    </row>
    <row r="352" spans="1:18" x14ac:dyDescent="0.35">
      <c r="A352" t="s">
        <v>381</v>
      </c>
      <c r="B352" t="s">
        <v>9</v>
      </c>
      <c r="C352" t="s">
        <v>14</v>
      </c>
      <c r="D352" t="s">
        <v>1893</v>
      </c>
      <c r="E352" s="3">
        <v>35</v>
      </c>
      <c r="F352" t="s">
        <v>1823</v>
      </c>
      <c r="G352" t="s">
        <v>1822</v>
      </c>
      <c r="H352" t="s">
        <v>19</v>
      </c>
      <c r="I352" s="1" t="s">
        <v>1380</v>
      </c>
      <c r="J352" s="7">
        <v>2</v>
      </c>
      <c r="K352" s="7">
        <v>2023</v>
      </c>
      <c r="L352" s="3">
        <v>84706.17</v>
      </c>
      <c r="M352" s="9" t="s">
        <v>1959</v>
      </c>
      <c r="N352" s="2" t="s">
        <v>1828</v>
      </c>
      <c r="O352" s="3">
        <v>4911110960</v>
      </c>
      <c r="P352" t="s">
        <v>12</v>
      </c>
      <c r="Q352">
        <v>2</v>
      </c>
      <c r="R352" t="s">
        <v>1963</v>
      </c>
    </row>
    <row r="353" spans="1:18" x14ac:dyDescent="0.35">
      <c r="A353" t="s">
        <v>382</v>
      </c>
      <c r="B353" t="s">
        <v>40</v>
      </c>
      <c r="C353" t="s">
        <v>62</v>
      </c>
      <c r="D353" t="s">
        <v>1951</v>
      </c>
      <c r="E353" s="3">
        <v>25</v>
      </c>
      <c r="F353" t="s">
        <v>1817</v>
      </c>
      <c r="G353" t="s">
        <v>1814</v>
      </c>
      <c r="H353" t="s">
        <v>11</v>
      </c>
      <c r="I353" s="1" t="s">
        <v>1381</v>
      </c>
      <c r="J353" s="7">
        <v>3</v>
      </c>
      <c r="K353" s="7">
        <v>2022</v>
      </c>
      <c r="L353" s="3">
        <v>73255.210000000006</v>
      </c>
      <c r="M353" s="9" t="s">
        <v>1959</v>
      </c>
      <c r="N353" s="2" t="s">
        <v>1886</v>
      </c>
      <c r="O353" s="3">
        <v>7981789045</v>
      </c>
      <c r="P353" t="s">
        <v>12</v>
      </c>
      <c r="Q353">
        <v>2</v>
      </c>
      <c r="R353" t="s">
        <v>1963</v>
      </c>
    </row>
    <row r="354" spans="1:18" x14ac:dyDescent="0.35">
      <c r="A354" t="s">
        <v>383</v>
      </c>
      <c r="B354" t="s">
        <v>25</v>
      </c>
      <c r="C354" t="s">
        <v>62</v>
      </c>
      <c r="D354" t="s">
        <v>1922</v>
      </c>
      <c r="E354" s="3">
        <v>40</v>
      </c>
      <c r="F354" t="s">
        <v>1823</v>
      </c>
      <c r="G354" t="s">
        <v>1820</v>
      </c>
      <c r="H354" t="s">
        <v>19</v>
      </c>
      <c r="I354" s="1" t="s">
        <v>1087</v>
      </c>
      <c r="J354" s="7">
        <v>2</v>
      </c>
      <c r="K354" s="7">
        <v>2023</v>
      </c>
      <c r="L354" s="3">
        <v>59528.71</v>
      </c>
      <c r="M354" s="9" t="s">
        <v>1958</v>
      </c>
      <c r="N354" s="2" t="s">
        <v>1857</v>
      </c>
      <c r="O354" s="3">
        <v>3378613714</v>
      </c>
      <c r="P354" t="s">
        <v>27</v>
      </c>
      <c r="Q354">
        <v>1</v>
      </c>
      <c r="R354" t="s">
        <v>1963</v>
      </c>
    </row>
    <row r="355" spans="1:18" x14ac:dyDescent="0.35">
      <c r="A355" t="s">
        <v>384</v>
      </c>
      <c r="B355" t="s">
        <v>37</v>
      </c>
      <c r="C355" t="s">
        <v>29</v>
      </c>
      <c r="D355" t="s">
        <v>1912</v>
      </c>
      <c r="E355" s="3">
        <v>40</v>
      </c>
      <c r="F355" t="s">
        <v>1823</v>
      </c>
      <c r="G355" t="s">
        <v>1822</v>
      </c>
      <c r="H355" t="s">
        <v>23</v>
      </c>
      <c r="I355" s="1" t="s">
        <v>1382</v>
      </c>
      <c r="J355" s="7">
        <v>4</v>
      </c>
      <c r="K355" s="7">
        <v>2021</v>
      </c>
      <c r="L355" s="3">
        <v>70401.37</v>
      </c>
      <c r="M355" s="9" t="s">
        <v>1959</v>
      </c>
      <c r="N355" s="2" t="s">
        <v>1847</v>
      </c>
      <c r="O355" s="3">
        <v>7660538443</v>
      </c>
      <c r="P355" t="s">
        <v>20</v>
      </c>
      <c r="Q355">
        <v>3</v>
      </c>
      <c r="R355" t="s">
        <v>1962</v>
      </c>
    </row>
    <row r="356" spans="1:18" x14ac:dyDescent="0.35">
      <c r="A356" t="s">
        <v>385</v>
      </c>
      <c r="B356" t="s">
        <v>40</v>
      </c>
      <c r="C356" t="s">
        <v>29</v>
      </c>
      <c r="D356" t="s">
        <v>1942</v>
      </c>
      <c r="E356" s="3">
        <v>30</v>
      </c>
      <c r="F356" t="s">
        <v>1817</v>
      </c>
      <c r="G356" t="s">
        <v>1814</v>
      </c>
      <c r="H356" t="s">
        <v>23</v>
      </c>
      <c r="I356" s="1" t="s">
        <v>1383</v>
      </c>
      <c r="J356" s="7">
        <v>4</v>
      </c>
      <c r="K356" s="7">
        <v>2021</v>
      </c>
      <c r="L356" s="3">
        <v>107154.62</v>
      </c>
      <c r="M356" s="9" t="s">
        <v>1960</v>
      </c>
      <c r="N356" s="2" t="s">
        <v>1877</v>
      </c>
      <c r="O356" s="3">
        <v>4630600024</v>
      </c>
      <c r="P356" t="s">
        <v>12</v>
      </c>
      <c r="Q356">
        <v>2</v>
      </c>
      <c r="R356" t="s">
        <v>1962</v>
      </c>
    </row>
    <row r="357" spans="1:18" x14ac:dyDescent="0.35">
      <c r="A357" t="s">
        <v>386</v>
      </c>
      <c r="B357" t="s">
        <v>9</v>
      </c>
      <c r="C357" t="s">
        <v>10</v>
      </c>
      <c r="D357" t="s">
        <v>1892</v>
      </c>
      <c r="E357" s="3">
        <v>30</v>
      </c>
      <c r="F357" t="s">
        <v>1817</v>
      </c>
      <c r="G357" t="s">
        <v>1824</v>
      </c>
      <c r="H357" t="s">
        <v>19</v>
      </c>
      <c r="I357" s="1" t="s">
        <v>1384</v>
      </c>
      <c r="J357" s="7">
        <v>4</v>
      </c>
      <c r="K357" s="7">
        <v>2021</v>
      </c>
      <c r="L357" s="3">
        <v>97719.88</v>
      </c>
      <c r="M357" s="9" t="s">
        <v>1960</v>
      </c>
      <c r="N357" s="2" t="s">
        <v>1827</v>
      </c>
      <c r="O357" s="3">
        <v>8955296385</v>
      </c>
      <c r="P357" t="s">
        <v>15</v>
      </c>
      <c r="Q357">
        <v>4</v>
      </c>
      <c r="R357" t="s">
        <v>1963</v>
      </c>
    </row>
    <row r="358" spans="1:18" x14ac:dyDescent="0.35">
      <c r="A358" t="s">
        <v>387</v>
      </c>
      <c r="B358" t="s">
        <v>40</v>
      </c>
      <c r="C358" t="s">
        <v>35</v>
      </c>
      <c r="D358" t="s">
        <v>1915</v>
      </c>
      <c r="E358" s="3">
        <v>30</v>
      </c>
      <c r="F358" t="s">
        <v>1815</v>
      </c>
      <c r="G358" t="s">
        <v>1814</v>
      </c>
      <c r="H358" t="s">
        <v>19</v>
      </c>
      <c r="I358" s="1" t="s">
        <v>1135</v>
      </c>
      <c r="J358" s="7">
        <v>5</v>
      </c>
      <c r="K358" s="7">
        <v>2020</v>
      </c>
      <c r="L358" s="3">
        <v>107327.59</v>
      </c>
      <c r="M358" s="9" t="s">
        <v>1960</v>
      </c>
      <c r="N358" s="2" t="s">
        <v>1850</v>
      </c>
      <c r="O358" s="3">
        <v>3960962625</v>
      </c>
      <c r="P358" t="s">
        <v>27</v>
      </c>
      <c r="Q358">
        <v>1</v>
      </c>
      <c r="R358" t="s">
        <v>1963</v>
      </c>
    </row>
    <row r="359" spans="1:18" x14ac:dyDescent="0.35">
      <c r="A359" t="s">
        <v>388</v>
      </c>
      <c r="B359" t="s">
        <v>42</v>
      </c>
      <c r="C359" t="s">
        <v>29</v>
      </c>
      <c r="D359" t="s">
        <v>1908</v>
      </c>
      <c r="E359" s="3">
        <v>40</v>
      </c>
      <c r="F359" t="s">
        <v>1817</v>
      </c>
      <c r="G359" t="s">
        <v>1818</v>
      </c>
      <c r="H359" t="s">
        <v>23</v>
      </c>
      <c r="I359" s="1" t="s">
        <v>1385</v>
      </c>
      <c r="J359" s="7">
        <v>4</v>
      </c>
      <c r="K359" s="7">
        <v>2021</v>
      </c>
      <c r="L359" s="3">
        <v>67687.72</v>
      </c>
      <c r="M359" s="9" t="s">
        <v>1959</v>
      </c>
      <c r="N359" s="2" t="s">
        <v>1843</v>
      </c>
      <c r="O359" s="3">
        <v>5826312818</v>
      </c>
      <c r="P359" t="s">
        <v>15</v>
      </c>
      <c r="Q359">
        <v>4</v>
      </c>
      <c r="R359" t="s">
        <v>1962</v>
      </c>
    </row>
    <row r="360" spans="1:18" x14ac:dyDescent="0.35">
      <c r="A360" t="s">
        <v>389</v>
      </c>
      <c r="B360" t="s">
        <v>42</v>
      </c>
      <c r="C360" t="s">
        <v>62</v>
      </c>
      <c r="D360" t="s">
        <v>1921</v>
      </c>
      <c r="E360" s="3">
        <v>40</v>
      </c>
      <c r="F360" t="s">
        <v>1819</v>
      </c>
      <c r="G360" t="s">
        <v>1820</v>
      </c>
      <c r="H360" t="s">
        <v>19</v>
      </c>
      <c r="I360" s="1" t="s">
        <v>1386</v>
      </c>
      <c r="J360" s="7">
        <v>3</v>
      </c>
      <c r="K360" s="7">
        <v>2022</v>
      </c>
      <c r="L360" s="3">
        <v>90757.08</v>
      </c>
      <c r="M360" s="9" t="s">
        <v>1960</v>
      </c>
      <c r="N360" s="2" t="s">
        <v>1856</v>
      </c>
      <c r="O360" s="3">
        <v>6482531105</v>
      </c>
      <c r="P360" t="s">
        <v>20</v>
      </c>
      <c r="Q360">
        <v>3</v>
      </c>
      <c r="R360" t="s">
        <v>1962</v>
      </c>
    </row>
    <row r="361" spans="1:18" x14ac:dyDescent="0.35">
      <c r="A361" t="s">
        <v>390</v>
      </c>
      <c r="B361" t="s">
        <v>42</v>
      </c>
      <c r="C361" t="s">
        <v>26</v>
      </c>
      <c r="D361" t="s">
        <v>1905</v>
      </c>
      <c r="E361" s="3">
        <v>30</v>
      </c>
      <c r="F361" t="s">
        <v>1819</v>
      </c>
      <c r="G361" t="s">
        <v>1814</v>
      </c>
      <c r="H361" t="s">
        <v>19</v>
      </c>
      <c r="I361" s="1" t="s">
        <v>1387</v>
      </c>
      <c r="J361" s="7">
        <v>1</v>
      </c>
      <c r="K361" s="7">
        <v>2024</v>
      </c>
      <c r="L361" s="3">
        <v>87583.42</v>
      </c>
      <c r="M361" s="9" t="s">
        <v>1960</v>
      </c>
      <c r="N361" s="2" t="s">
        <v>1840</v>
      </c>
      <c r="O361" s="3">
        <v>920981959</v>
      </c>
      <c r="P361" t="s">
        <v>20</v>
      </c>
      <c r="Q361">
        <v>3</v>
      </c>
      <c r="R361" t="s">
        <v>1963</v>
      </c>
    </row>
    <row r="362" spans="1:18" x14ac:dyDescent="0.35">
      <c r="A362" t="s">
        <v>391</v>
      </c>
      <c r="B362" t="s">
        <v>9</v>
      </c>
      <c r="C362" t="s">
        <v>14</v>
      </c>
      <c r="D362" t="s">
        <v>1893</v>
      </c>
      <c r="E362" s="3">
        <v>25</v>
      </c>
      <c r="F362" t="s">
        <v>1817</v>
      </c>
      <c r="G362" t="s">
        <v>1818</v>
      </c>
      <c r="H362" t="s">
        <v>19</v>
      </c>
      <c r="I362" s="1" t="s">
        <v>1388</v>
      </c>
      <c r="J362" s="7">
        <v>3</v>
      </c>
      <c r="K362" s="7">
        <v>2021</v>
      </c>
      <c r="L362" s="3">
        <v>61643.69</v>
      </c>
      <c r="M362" s="9" t="s">
        <v>1959</v>
      </c>
      <c r="N362" s="2" t="s">
        <v>1828</v>
      </c>
      <c r="O362" s="3">
        <v>2752334382</v>
      </c>
      <c r="P362" t="s">
        <v>20</v>
      </c>
      <c r="Q362">
        <v>3</v>
      </c>
      <c r="R362" t="s">
        <v>1962</v>
      </c>
    </row>
    <row r="363" spans="1:18" x14ac:dyDescent="0.35">
      <c r="A363" t="s">
        <v>392</v>
      </c>
      <c r="B363" t="s">
        <v>42</v>
      </c>
      <c r="C363" t="s">
        <v>62</v>
      </c>
      <c r="D363" t="s">
        <v>1921</v>
      </c>
      <c r="E363" s="3">
        <v>35</v>
      </c>
      <c r="F363" t="s">
        <v>1815</v>
      </c>
      <c r="G363" t="s">
        <v>1816</v>
      </c>
      <c r="H363" t="s">
        <v>11</v>
      </c>
      <c r="I363" s="1" t="s">
        <v>1389</v>
      </c>
      <c r="J363" s="7">
        <v>5</v>
      </c>
      <c r="K363" s="7">
        <v>2020</v>
      </c>
      <c r="L363" s="3">
        <v>68111.69</v>
      </c>
      <c r="M363" s="9" t="s">
        <v>1959</v>
      </c>
      <c r="N363" s="2" t="s">
        <v>1856</v>
      </c>
      <c r="O363" s="3">
        <v>6404120910</v>
      </c>
      <c r="P363" t="s">
        <v>27</v>
      </c>
      <c r="Q363">
        <v>1</v>
      </c>
      <c r="R363" t="s">
        <v>1963</v>
      </c>
    </row>
    <row r="364" spans="1:18" x14ac:dyDescent="0.35">
      <c r="A364" t="s">
        <v>393</v>
      </c>
      <c r="B364" t="s">
        <v>37</v>
      </c>
      <c r="C364" t="s">
        <v>62</v>
      </c>
      <c r="D364" t="s">
        <v>1949</v>
      </c>
      <c r="E364" s="3">
        <v>40</v>
      </c>
      <c r="F364" t="s">
        <v>1823</v>
      </c>
      <c r="G364" t="s">
        <v>1820</v>
      </c>
      <c r="H364" t="s">
        <v>23</v>
      </c>
      <c r="I364" s="1" t="s">
        <v>1390</v>
      </c>
      <c r="J364" s="7">
        <v>1</v>
      </c>
      <c r="K364" s="7">
        <v>2024</v>
      </c>
      <c r="L364" s="3">
        <v>97568.88</v>
      </c>
      <c r="M364" s="9" t="s">
        <v>1960</v>
      </c>
      <c r="N364" s="2" t="s">
        <v>1884</v>
      </c>
      <c r="O364" s="3">
        <v>7911244210</v>
      </c>
      <c r="P364" t="s">
        <v>12</v>
      </c>
      <c r="Q364">
        <v>2</v>
      </c>
      <c r="R364" t="s">
        <v>1962</v>
      </c>
    </row>
    <row r="365" spans="1:18" x14ac:dyDescent="0.35">
      <c r="A365" t="s">
        <v>394</v>
      </c>
      <c r="B365" t="s">
        <v>34</v>
      </c>
      <c r="C365" t="s">
        <v>35</v>
      </c>
      <c r="D365" t="s">
        <v>1901</v>
      </c>
      <c r="E365" s="3">
        <v>35</v>
      </c>
      <c r="F365" t="s">
        <v>1819</v>
      </c>
      <c r="G365" t="s">
        <v>1820</v>
      </c>
      <c r="H365" t="s">
        <v>11</v>
      </c>
      <c r="I365" s="1" t="s">
        <v>1391</v>
      </c>
      <c r="J365" s="7">
        <v>4</v>
      </c>
      <c r="K365" s="7">
        <v>2021</v>
      </c>
      <c r="L365" s="3">
        <v>79118.28</v>
      </c>
      <c r="M365" s="9" t="s">
        <v>1959</v>
      </c>
      <c r="N365" s="2" t="s">
        <v>1836</v>
      </c>
      <c r="O365" s="3">
        <v>7536170616</v>
      </c>
      <c r="P365" t="s">
        <v>27</v>
      </c>
      <c r="Q365">
        <v>1</v>
      </c>
      <c r="R365" t="s">
        <v>1962</v>
      </c>
    </row>
    <row r="366" spans="1:18" x14ac:dyDescent="0.35">
      <c r="A366" t="s">
        <v>395</v>
      </c>
      <c r="B366" t="s">
        <v>9</v>
      </c>
      <c r="C366" t="s">
        <v>10</v>
      </c>
      <c r="D366" t="s">
        <v>1892</v>
      </c>
      <c r="E366" s="3">
        <v>30</v>
      </c>
      <c r="F366" t="s">
        <v>1823</v>
      </c>
      <c r="G366" t="s">
        <v>1814</v>
      </c>
      <c r="H366" t="s">
        <v>23</v>
      </c>
      <c r="I366" s="1" t="s">
        <v>1175</v>
      </c>
      <c r="J366" s="7">
        <v>3</v>
      </c>
      <c r="K366" s="7">
        <v>2022</v>
      </c>
      <c r="L366" s="3">
        <v>104898.9</v>
      </c>
      <c r="M366" s="9" t="s">
        <v>1960</v>
      </c>
      <c r="N366" s="2" t="s">
        <v>1827</v>
      </c>
      <c r="O366" s="3">
        <v>1366572239</v>
      </c>
      <c r="P366" t="s">
        <v>15</v>
      </c>
      <c r="Q366">
        <v>4</v>
      </c>
      <c r="R366" t="s">
        <v>1962</v>
      </c>
    </row>
    <row r="367" spans="1:18" x14ac:dyDescent="0.35">
      <c r="A367" t="s">
        <v>396</v>
      </c>
      <c r="B367" t="s">
        <v>25</v>
      </c>
      <c r="C367" t="s">
        <v>10</v>
      </c>
      <c r="D367" t="s">
        <v>1900</v>
      </c>
      <c r="E367" s="3">
        <v>40</v>
      </c>
      <c r="F367" t="s">
        <v>1819</v>
      </c>
      <c r="G367" t="s">
        <v>1820</v>
      </c>
      <c r="H367" t="s">
        <v>19</v>
      </c>
      <c r="I367" s="1" t="s">
        <v>1392</v>
      </c>
      <c r="J367" s="7">
        <v>1</v>
      </c>
      <c r="K367" s="7">
        <v>2023</v>
      </c>
      <c r="L367" s="3">
        <v>81671.3</v>
      </c>
      <c r="M367" s="9" t="s">
        <v>1959</v>
      </c>
      <c r="N367" s="2" t="s">
        <v>1835</v>
      </c>
      <c r="O367" s="3">
        <v>2990155798</v>
      </c>
      <c r="P367" t="s">
        <v>27</v>
      </c>
      <c r="Q367">
        <v>1</v>
      </c>
      <c r="R367" t="s">
        <v>1962</v>
      </c>
    </row>
    <row r="368" spans="1:18" x14ac:dyDescent="0.35">
      <c r="A368" t="s">
        <v>397</v>
      </c>
      <c r="B368" t="s">
        <v>17</v>
      </c>
      <c r="C368" t="s">
        <v>50</v>
      </c>
      <c r="D368" t="s">
        <v>1929</v>
      </c>
      <c r="E368" s="3">
        <v>25</v>
      </c>
      <c r="F368" t="s">
        <v>1819</v>
      </c>
      <c r="G368" t="s">
        <v>1814</v>
      </c>
      <c r="H368" t="s">
        <v>19</v>
      </c>
      <c r="I368" s="1" t="s">
        <v>1393</v>
      </c>
      <c r="J368" s="7">
        <v>5</v>
      </c>
      <c r="K368" s="7">
        <v>2020</v>
      </c>
      <c r="L368" s="3">
        <v>97399.75</v>
      </c>
      <c r="M368" s="9" t="s">
        <v>1960</v>
      </c>
      <c r="N368" s="2" t="s">
        <v>1864</v>
      </c>
      <c r="O368" s="3">
        <v>8028413907</v>
      </c>
      <c r="P368" t="s">
        <v>15</v>
      </c>
      <c r="Q368">
        <v>4</v>
      </c>
      <c r="R368" t="s">
        <v>1963</v>
      </c>
    </row>
    <row r="369" spans="1:18" x14ac:dyDescent="0.35">
      <c r="A369" t="s">
        <v>398</v>
      </c>
      <c r="B369" t="s">
        <v>37</v>
      </c>
      <c r="C369" t="s">
        <v>35</v>
      </c>
      <c r="D369" t="s">
        <v>1937</v>
      </c>
      <c r="E369" s="3">
        <v>30</v>
      </c>
      <c r="F369" t="s">
        <v>1817</v>
      </c>
      <c r="G369" t="s">
        <v>1824</v>
      </c>
      <c r="H369" t="s">
        <v>11</v>
      </c>
      <c r="I369" s="1" t="s">
        <v>1394</v>
      </c>
      <c r="J369" s="7">
        <v>4</v>
      </c>
      <c r="K369" s="7">
        <v>2021</v>
      </c>
      <c r="L369" s="3">
        <v>89189.43</v>
      </c>
      <c r="M369" s="9" t="s">
        <v>1960</v>
      </c>
      <c r="N369" s="2" t="s">
        <v>1872</v>
      </c>
      <c r="O369" s="3">
        <v>882351304</v>
      </c>
      <c r="P369" t="s">
        <v>27</v>
      </c>
      <c r="Q369">
        <v>1</v>
      </c>
      <c r="R369" t="s">
        <v>1962</v>
      </c>
    </row>
    <row r="370" spans="1:18" x14ac:dyDescent="0.35">
      <c r="A370" t="s">
        <v>399</v>
      </c>
      <c r="B370" t="s">
        <v>37</v>
      </c>
      <c r="C370" t="s">
        <v>26</v>
      </c>
      <c r="D370" t="s">
        <v>1902</v>
      </c>
      <c r="E370" s="3">
        <v>40</v>
      </c>
      <c r="F370" t="s">
        <v>1813</v>
      </c>
      <c r="G370" t="s">
        <v>1822</v>
      </c>
      <c r="H370" t="s">
        <v>11</v>
      </c>
      <c r="I370" s="1" t="s">
        <v>1395</v>
      </c>
      <c r="J370" s="7">
        <v>2</v>
      </c>
      <c r="K370" s="7">
        <v>2023</v>
      </c>
      <c r="L370" s="3">
        <v>96011.55</v>
      </c>
      <c r="M370" s="9" t="s">
        <v>1960</v>
      </c>
      <c r="N370" s="2" t="s">
        <v>1837</v>
      </c>
      <c r="O370" s="3">
        <v>2312447314</v>
      </c>
      <c r="P370" t="s">
        <v>12</v>
      </c>
      <c r="Q370">
        <v>2</v>
      </c>
      <c r="R370" t="s">
        <v>1962</v>
      </c>
    </row>
    <row r="371" spans="1:18" x14ac:dyDescent="0.35">
      <c r="A371" t="s">
        <v>400</v>
      </c>
      <c r="B371" t="s">
        <v>37</v>
      </c>
      <c r="C371" t="s">
        <v>10</v>
      </c>
      <c r="D371" t="s">
        <v>1903</v>
      </c>
      <c r="E371" s="3">
        <v>40</v>
      </c>
      <c r="F371" t="s">
        <v>1821</v>
      </c>
      <c r="G371" t="s">
        <v>1820</v>
      </c>
      <c r="H371" t="s">
        <v>23</v>
      </c>
      <c r="I371" s="1" t="s">
        <v>1396</v>
      </c>
      <c r="J371" s="7">
        <v>5</v>
      </c>
      <c r="K371" s="7">
        <v>2020</v>
      </c>
      <c r="L371" s="3">
        <v>99331.49</v>
      </c>
      <c r="M371" s="9" t="s">
        <v>1960</v>
      </c>
      <c r="N371" s="2" t="s">
        <v>1838</v>
      </c>
      <c r="O371" s="3">
        <v>8477686341</v>
      </c>
      <c r="P371" t="s">
        <v>15</v>
      </c>
      <c r="Q371">
        <v>4</v>
      </c>
      <c r="R371" t="s">
        <v>1963</v>
      </c>
    </row>
    <row r="372" spans="1:18" x14ac:dyDescent="0.35">
      <c r="A372" t="s">
        <v>401</v>
      </c>
      <c r="B372" t="s">
        <v>9</v>
      </c>
      <c r="C372" t="s">
        <v>14</v>
      </c>
      <c r="D372" t="s">
        <v>1893</v>
      </c>
      <c r="E372" s="3">
        <v>30</v>
      </c>
      <c r="F372" t="s">
        <v>1819</v>
      </c>
      <c r="G372" t="s">
        <v>1824</v>
      </c>
      <c r="H372" t="s">
        <v>11</v>
      </c>
      <c r="I372" s="1" t="s">
        <v>1298</v>
      </c>
      <c r="J372" s="7">
        <v>3</v>
      </c>
      <c r="K372" s="7">
        <v>2022</v>
      </c>
      <c r="L372" s="3">
        <v>72818.94</v>
      </c>
      <c r="M372" s="9" t="s">
        <v>1959</v>
      </c>
      <c r="N372" s="2" t="s">
        <v>1828</v>
      </c>
      <c r="O372" s="3">
        <v>3461994236</v>
      </c>
      <c r="P372" t="s">
        <v>20</v>
      </c>
      <c r="Q372">
        <v>3</v>
      </c>
      <c r="R372" t="s">
        <v>1962</v>
      </c>
    </row>
    <row r="373" spans="1:18" x14ac:dyDescent="0.35">
      <c r="A373" t="s">
        <v>402</v>
      </c>
      <c r="B373" t="s">
        <v>22</v>
      </c>
      <c r="C373" t="s">
        <v>29</v>
      </c>
      <c r="D373" t="s">
        <v>1946</v>
      </c>
      <c r="E373" s="3">
        <v>40</v>
      </c>
      <c r="F373" t="s">
        <v>1821</v>
      </c>
      <c r="G373" t="s">
        <v>1818</v>
      </c>
      <c r="H373" t="s">
        <v>23</v>
      </c>
      <c r="I373" s="1" t="s">
        <v>1397</v>
      </c>
      <c r="J373" s="7">
        <v>2</v>
      </c>
      <c r="K373" s="7">
        <v>2023</v>
      </c>
      <c r="L373" s="3">
        <v>77204.75</v>
      </c>
      <c r="M373" s="9" t="s">
        <v>1959</v>
      </c>
      <c r="N373" s="2" t="s">
        <v>1881</v>
      </c>
      <c r="O373" s="3">
        <v>6769459195</v>
      </c>
      <c r="P373" t="s">
        <v>20</v>
      </c>
      <c r="Q373">
        <v>3</v>
      </c>
      <c r="R373" t="s">
        <v>1962</v>
      </c>
    </row>
    <row r="374" spans="1:18" x14ac:dyDescent="0.35">
      <c r="A374" t="s">
        <v>403</v>
      </c>
      <c r="B374" t="s">
        <v>9</v>
      </c>
      <c r="C374" t="s">
        <v>35</v>
      </c>
      <c r="D374" t="s">
        <v>1935</v>
      </c>
      <c r="E374" s="3">
        <v>35</v>
      </c>
      <c r="F374" t="s">
        <v>1823</v>
      </c>
      <c r="G374" t="s">
        <v>1820</v>
      </c>
      <c r="H374" t="s">
        <v>19</v>
      </c>
      <c r="I374" s="1" t="s">
        <v>1398</v>
      </c>
      <c r="J374" s="7">
        <v>4</v>
      </c>
      <c r="K374" s="7">
        <v>2020</v>
      </c>
      <c r="L374" s="3">
        <v>106961.68</v>
      </c>
      <c r="M374" s="9" t="s">
        <v>1960</v>
      </c>
      <c r="N374" s="2" t="s">
        <v>1870</v>
      </c>
      <c r="O374" s="3">
        <v>6395517207</v>
      </c>
      <c r="P374" t="s">
        <v>27</v>
      </c>
      <c r="Q374">
        <v>1</v>
      </c>
      <c r="R374" t="s">
        <v>1963</v>
      </c>
    </row>
    <row r="375" spans="1:18" x14ac:dyDescent="0.35">
      <c r="A375" t="s">
        <v>404</v>
      </c>
      <c r="B375" t="s">
        <v>22</v>
      </c>
      <c r="C375" t="s">
        <v>29</v>
      </c>
      <c r="D375" t="s">
        <v>1946</v>
      </c>
      <c r="E375" s="3">
        <v>30</v>
      </c>
      <c r="F375" t="s">
        <v>1821</v>
      </c>
      <c r="G375" t="s">
        <v>1816</v>
      </c>
      <c r="H375" t="s">
        <v>19</v>
      </c>
      <c r="I375" s="1" t="s">
        <v>1399</v>
      </c>
      <c r="J375" s="7">
        <v>5</v>
      </c>
      <c r="K375" s="7">
        <v>2020</v>
      </c>
      <c r="L375" s="3">
        <v>71923</v>
      </c>
      <c r="M375" s="9" t="s">
        <v>1959</v>
      </c>
      <c r="N375" s="2" t="s">
        <v>1881</v>
      </c>
      <c r="O375" s="3">
        <v>4964985600</v>
      </c>
      <c r="P375" t="s">
        <v>20</v>
      </c>
      <c r="Q375">
        <v>3</v>
      </c>
      <c r="R375" t="s">
        <v>1962</v>
      </c>
    </row>
    <row r="376" spans="1:18" x14ac:dyDescent="0.35">
      <c r="A376" t="s">
        <v>405</v>
      </c>
      <c r="B376" t="s">
        <v>9</v>
      </c>
      <c r="C376" t="s">
        <v>62</v>
      </c>
      <c r="D376" t="s">
        <v>1917</v>
      </c>
      <c r="E376" s="3">
        <v>30</v>
      </c>
      <c r="F376" t="s">
        <v>1823</v>
      </c>
      <c r="G376" t="s">
        <v>1818</v>
      </c>
      <c r="H376" t="s">
        <v>11</v>
      </c>
      <c r="I376" s="1" t="s">
        <v>1400</v>
      </c>
      <c r="J376" s="7">
        <v>2</v>
      </c>
      <c r="K376" s="7">
        <v>2022</v>
      </c>
      <c r="L376" s="3">
        <v>77192.429999999993</v>
      </c>
      <c r="M376" s="9" t="s">
        <v>1959</v>
      </c>
      <c r="N376" s="2" t="s">
        <v>1852</v>
      </c>
      <c r="O376" s="3">
        <v>2562531354</v>
      </c>
      <c r="P376" t="s">
        <v>15</v>
      </c>
      <c r="Q376">
        <v>4</v>
      </c>
      <c r="R376" t="s">
        <v>1963</v>
      </c>
    </row>
    <row r="377" spans="1:18" x14ac:dyDescent="0.35">
      <c r="A377" t="s">
        <v>406</v>
      </c>
      <c r="B377" t="s">
        <v>42</v>
      </c>
      <c r="C377" t="s">
        <v>14</v>
      </c>
      <c r="D377" t="s">
        <v>1936</v>
      </c>
      <c r="E377" s="3">
        <v>40</v>
      </c>
      <c r="F377" t="s">
        <v>1817</v>
      </c>
      <c r="G377" t="s">
        <v>1820</v>
      </c>
      <c r="H377" t="s">
        <v>19</v>
      </c>
      <c r="I377" s="1" t="s">
        <v>1401</v>
      </c>
      <c r="J377" s="7">
        <v>2</v>
      </c>
      <c r="K377" s="7">
        <v>2023</v>
      </c>
      <c r="L377" s="3">
        <v>98540.3</v>
      </c>
      <c r="M377" s="9" t="s">
        <v>1960</v>
      </c>
      <c r="N377" s="2" t="s">
        <v>1871</v>
      </c>
      <c r="O377" s="3">
        <v>2510505378</v>
      </c>
      <c r="P377" t="s">
        <v>20</v>
      </c>
      <c r="Q377">
        <v>3</v>
      </c>
      <c r="R377" t="s">
        <v>1963</v>
      </c>
    </row>
    <row r="378" spans="1:18" x14ac:dyDescent="0.35">
      <c r="A378" t="s">
        <v>407</v>
      </c>
      <c r="B378" t="s">
        <v>34</v>
      </c>
      <c r="C378" t="s">
        <v>14</v>
      </c>
      <c r="D378" t="s">
        <v>1918</v>
      </c>
      <c r="E378" s="3">
        <v>30</v>
      </c>
      <c r="F378" t="s">
        <v>1817</v>
      </c>
      <c r="G378" t="s">
        <v>1820</v>
      </c>
      <c r="H378" t="s">
        <v>23</v>
      </c>
      <c r="I378" s="1" t="s">
        <v>1402</v>
      </c>
      <c r="J378" s="7">
        <v>5</v>
      </c>
      <c r="K378" s="7">
        <v>2020</v>
      </c>
      <c r="L378" s="3">
        <v>63096.9</v>
      </c>
      <c r="M378" s="9" t="s">
        <v>1959</v>
      </c>
      <c r="N378" s="2" t="s">
        <v>1853</v>
      </c>
      <c r="O378" s="3">
        <v>5381649382</v>
      </c>
      <c r="P378" t="s">
        <v>12</v>
      </c>
      <c r="Q378">
        <v>2</v>
      </c>
      <c r="R378" t="s">
        <v>1963</v>
      </c>
    </row>
    <row r="379" spans="1:18" x14ac:dyDescent="0.35">
      <c r="A379" t="s">
        <v>408</v>
      </c>
      <c r="B379" t="s">
        <v>17</v>
      </c>
      <c r="C379" t="s">
        <v>62</v>
      </c>
      <c r="D379" t="s">
        <v>1933</v>
      </c>
      <c r="E379" s="3">
        <v>35</v>
      </c>
      <c r="F379" t="s">
        <v>1819</v>
      </c>
      <c r="G379" t="s">
        <v>1820</v>
      </c>
      <c r="H379" t="s">
        <v>11</v>
      </c>
      <c r="I379" s="1" t="s">
        <v>1403</v>
      </c>
      <c r="J379" s="7">
        <v>4</v>
      </c>
      <c r="K379" s="7">
        <v>2021</v>
      </c>
      <c r="L379" s="3">
        <v>107065.12</v>
      </c>
      <c r="M379" s="9" t="s">
        <v>1960</v>
      </c>
      <c r="N379" s="2" t="s">
        <v>1868</v>
      </c>
      <c r="O379" s="3">
        <v>1849196654</v>
      </c>
      <c r="P379" t="s">
        <v>12</v>
      </c>
      <c r="Q379">
        <v>2</v>
      </c>
      <c r="R379" t="s">
        <v>1963</v>
      </c>
    </row>
    <row r="380" spans="1:18" x14ac:dyDescent="0.35">
      <c r="A380" t="s">
        <v>409</v>
      </c>
      <c r="B380" t="s">
        <v>40</v>
      </c>
      <c r="C380" t="s">
        <v>35</v>
      </c>
      <c r="D380" t="s">
        <v>1915</v>
      </c>
      <c r="E380" s="3">
        <v>40</v>
      </c>
      <c r="F380" t="s">
        <v>1813</v>
      </c>
      <c r="G380" t="s">
        <v>1820</v>
      </c>
      <c r="H380" t="s">
        <v>23</v>
      </c>
      <c r="I380" s="1" t="s">
        <v>1404</v>
      </c>
      <c r="J380" s="7">
        <v>1</v>
      </c>
      <c r="K380" s="7">
        <v>2023</v>
      </c>
      <c r="L380" s="3">
        <v>108792.43</v>
      </c>
      <c r="M380" s="9" t="s">
        <v>1960</v>
      </c>
      <c r="N380" s="2" t="s">
        <v>1850</v>
      </c>
      <c r="O380" s="3">
        <v>3307704610</v>
      </c>
      <c r="P380" t="s">
        <v>27</v>
      </c>
      <c r="Q380">
        <v>1</v>
      </c>
      <c r="R380" t="s">
        <v>1962</v>
      </c>
    </row>
    <row r="381" spans="1:18" x14ac:dyDescent="0.35">
      <c r="A381" t="s">
        <v>410</v>
      </c>
      <c r="B381" t="s">
        <v>9</v>
      </c>
      <c r="C381" t="s">
        <v>62</v>
      </c>
      <c r="D381" t="s">
        <v>1917</v>
      </c>
      <c r="E381" s="3">
        <v>30</v>
      </c>
      <c r="F381" t="s">
        <v>1819</v>
      </c>
      <c r="G381" t="s">
        <v>1822</v>
      </c>
      <c r="H381" t="s">
        <v>23</v>
      </c>
      <c r="I381" s="1" t="s">
        <v>1405</v>
      </c>
      <c r="J381" s="7">
        <v>5</v>
      </c>
      <c r="K381" s="7">
        <v>2020</v>
      </c>
      <c r="L381" s="3">
        <v>69239.7</v>
      </c>
      <c r="M381" s="9" t="s">
        <v>1959</v>
      </c>
      <c r="N381" s="2" t="s">
        <v>1852</v>
      </c>
      <c r="O381" s="3">
        <v>7295963903</v>
      </c>
      <c r="P381" t="s">
        <v>15</v>
      </c>
      <c r="Q381">
        <v>4</v>
      </c>
      <c r="R381" t="s">
        <v>1963</v>
      </c>
    </row>
    <row r="382" spans="1:18" x14ac:dyDescent="0.35">
      <c r="A382" t="s">
        <v>411</v>
      </c>
      <c r="B382" t="s">
        <v>34</v>
      </c>
      <c r="C382" t="s">
        <v>29</v>
      </c>
      <c r="D382" t="s">
        <v>1909</v>
      </c>
      <c r="E382" s="3">
        <v>40</v>
      </c>
      <c r="F382" t="s">
        <v>1821</v>
      </c>
      <c r="G382" t="s">
        <v>1818</v>
      </c>
      <c r="H382" t="s">
        <v>23</v>
      </c>
      <c r="I382" s="1" t="s">
        <v>1406</v>
      </c>
      <c r="J382" s="7">
        <v>2</v>
      </c>
      <c r="K382" s="7">
        <v>2023</v>
      </c>
      <c r="L382" s="3">
        <v>85756.42</v>
      </c>
      <c r="M382" s="9" t="s">
        <v>1960</v>
      </c>
      <c r="N382" s="2" t="s">
        <v>1844</v>
      </c>
      <c r="O382" s="3">
        <v>907426087</v>
      </c>
      <c r="P382" t="s">
        <v>12</v>
      </c>
      <c r="Q382">
        <v>2</v>
      </c>
      <c r="R382" t="s">
        <v>1962</v>
      </c>
    </row>
    <row r="383" spans="1:18" x14ac:dyDescent="0.35">
      <c r="A383" t="s">
        <v>412</v>
      </c>
      <c r="B383" t="s">
        <v>22</v>
      </c>
      <c r="C383" t="s">
        <v>50</v>
      </c>
      <c r="D383" t="s">
        <v>1943</v>
      </c>
      <c r="E383" s="3">
        <v>30</v>
      </c>
      <c r="F383" t="s">
        <v>1823</v>
      </c>
      <c r="G383" t="s">
        <v>1824</v>
      </c>
      <c r="H383" t="s">
        <v>11</v>
      </c>
      <c r="I383" s="1" t="s">
        <v>1233</v>
      </c>
      <c r="J383" s="7">
        <v>1</v>
      </c>
      <c r="K383" s="7">
        <v>2024</v>
      </c>
      <c r="L383" s="3">
        <v>100328.62</v>
      </c>
      <c r="M383" s="9" t="s">
        <v>1960</v>
      </c>
      <c r="N383" s="2" t="s">
        <v>1878</v>
      </c>
      <c r="O383" s="3">
        <v>501716444</v>
      </c>
      <c r="P383" t="s">
        <v>12</v>
      </c>
      <c r="Q383">
        <v>2</v>
      </c>
      <c r="R383" t="s">
        <v>1962</v>
      </c>
    </row>
    <row r="384" spans="1:18" x14ac:dyDescent="0.35">
      <c r="A384" t="s">
        <v>413</v>
      </c>
      <c r="B384" t="s">
        <v>42</v>
      </c>
      <c r="C384" t="s">
        <v>14</v>
      </c>
      <c r="D384" t="s">
        <v>1936</v>
      </c>
      <c r="E384" s="3">
        <v>25</v>
      </c>
      <c r="F384" t="s">
        <v>1813</v>
      </c>
      <c r="G384" t="s">
        <v>1818</v>
      </c>
      <c r="H384" t="s">
        <v>11</v>
      </c>
      <c r="I384" s="1" t="s">
        <v>1292</v>
      </c>
      <c r="J384" s="7">
        <v>4</v>
      </c>
      <c r="K384" s="7">
        <v>2021</v>
      </c>
      <c r="L384" s="3">
        <v>111236.69</v>
      </c>
      <c r="M384" s="9" t="s">
        <v>1960</v>
      </c>
      <c r="N384" s="2" t="s">
        <v>1871</v>
      </c>
      <c r="O384" s="3">
        <v>5618579063</v>
      </c>
      <c r="P384" t="s">
        <v>15</v>
      </c>
      <c r="Q384">
        <v>4</v>
      </c>
      <c r="R384" t="s">
        <v>1962</v>
      </c>
    </row>
    <row r="385" spans="1:18" x14ac:dyDescent="0.35">
      <c r="A385" t="s">
        <v>414</v>
      </c>
      <c r="B385" t="s">
        <v>22</v>
      </c>
      <c r="C385" t="s">
        <v>18</v>
      </c>
      <c r="D385" t="s">
        <v>1945</v>
      </c>
      <c r="E385" s="3">
        <v>35</v>
      </c>
      <c r="F385" t="s">
        <v>1819</v>
      </c>
      <c r="G385" t="s">
        <v>1820</v>
      </c>
      <c r="H385" t="s">
        <v>11</v>
      </c>
      <c r="I385" s="1" t="s">
        <v>1152</v>
      </c>
      <c r="J385" s="7">
        <v>1</v>
      </c>
      <c r="K385" s="7">
        <v>2024</v>
      </c>
      <c r="L385" s="3">
        <v>106832.22</v>
      </c>
      <c r="M385" s="9" t="s">
        <v>1960</v>
      </c>
      <c r="N385" s="2" t="s">
        <v>1880</v>
      </c>
      <c r="O385" s="3">
        <v>7715910299</v>
      </c>
      <c r="P385" t="s">
        <v>20</v>
      </c>
      <c r="Q385">
        <v>3</v>
      </c>
      <c r="R385" t="s">
        <v>1962</v>
      </c>
    </row>
    <row r="386" spans="1:18" x14ac:dyDescent="0.35">
      <c r="A386" t="s">
        <v>415</v>
      </c>
      <c r="B386" t="s">
        <v>25</v>
      </c>
      <c r="C386" t="s">
        <v>18</v>
      </c>
      <c r="D386" t="s">
        <v>1898</v>
      </c>
      <c r="E386" s="3">
        <v>30</v>
      </c>
      <c r="F386" t="s">
        <v>1813</v>
      </c>
      <c r="G386" t="s">
        <v>1820</v>
      </c>
      <c r="H386" t="s">
        <v>11</v>
      </c>
      <c r="I386" s="1" t="s">
        <v>1407</v>
      </c>
      <c r="J386" s="7">
        <v>2</v>
      </c>
      <c r="K386" s="7">
        <v>2023</v>
      </c>
      <c r="L386" s="3">
        <v>59746.45</v>
      </c>
      <c r="M386" s="9" t="s">
        <v>1958</v>
      </c>
      <c r="N386" s="2" t="s">
        <v>1833</v>
      </c>
      <c r="O386" s="3">
        <v>2156321357</v>
      </c>
      <c r="P386" t="s">
        <v>20</v>
      </c>
      <c r="Q386">
        <v>3</v>
      </c>
      <c r="R386" t="s">
        <v>1962</v>
      </c>
    </row>
    <row r="387" spans="1:18" x14ac:dyDescent="0.35">
      <c r="A387" t="s">
        <v>416</v>
      </c>
      <c r="B387" t="s">
        <v>37</v>
      </c>
      <c r="C387" t="s">
        <v>29</v>
      </c>
      <c r="D387" t="s">
        <v>1912</v>
      </c>
      <c r="E387" s="3">
        <v>25</v>
      </c>
      <c r="F387" t="s">
        <v>1821</v>
      </c>
      <c r="G387" t="s">
        <v>1814</v>
      </c>
      <c r="H387" t="s">
        <v>19</v>
      </c>
      <c r="I387" s="1" t="s">
        <v>1408</v>
      </c>
      <c r="J387" s="7">
        <v>4</v>
      </c>
      <c r="K387" s="7">
        <v>2021</v>
      </c>
      <c r="L387" s="3">
        <v>91780.04</v>
      </c>
      <c r="M387" s="9" t="s">
        <v>1960</v>
      </c>
      <c r="N387" s="2" t="s">
        <v>1847</v>
      </c>
      <c r="O387" s="3">
        <v>40104144</v>
      </c>
      <c r="P387" t="s">
        <v>27</v>
      </c>
      <c r="Q387">
        <v>1</v>
      </c>
      <c r="R387" t="s">
        <v>1962</v>
      </c>
    </row>
    <row r="388" spans="1:18" x14ac:dyDescent="0.35">
      <c r="A388" t="s">
        <v>417</v>
      </c>
      <c r="B388" t="s">
        <v>22</v>
      </c>
      <c r="C388" t="s">
        <v>26</v>
      </c>
      <c r="D388" t="s">
        <v>1923</v>
      </c>
      <c r="E388" s="3">
        <v>35</v>
      </c>
      <c r="F388" t="s">
        <v>1821</v>
      </c>
      <c r="G388" t="s">
        <v>1814</v>
      </c>
      <c r="H388" t="s">
        <v>19</v>
      </c>
      <c r="I388" s="1" t="s">
        <v>1409</v>
      </c>
      <c r="J388" s="7">
        <v>2</v>
      </c>
      <c r="K388" s="7">
        <v>2023</v>
      </c>
      <c r="L388" s="3">
        <v>107062.66</v>
      </c>
      <c r="M388" s="9" t="s">
        <v>1960</v>
      </c>
      <c r="N388" s="2" t="s">
        <v>1858</v>
      </c>
      <c r="O388" s="3">
        <v>9642297124</v>
      </c>
      <c r="P388" t="s">
        <v>20</v>
      </c>
      <c r="Q388">
        <v>3</v>
      </c>
      <c r="R388" t="s">
        <v>1962</v>
      </c>
    </row>
    <row r="389" spans="1:18" x14ac:dyDescent="0.35">
      <c r="A389" t="s">
        <v>418</v>
      </c>
      <c r="B389" t="s">
        <v>42</v>
      </c>
      <c r="C389" t="s">
        <v>10</v>
      </c>
      <c r="D389" t="s">
        <v>1939</v>
      </c>
      <c r="E389" s="3">
        <v>25</v>
      </c>
      <c r="F389" t="s">
        <v>1823</v>
      </c>
      <c r="G389" t="s">
        <v>1818</v>
      </c>
      <c r="H389" t="s">
        <v>11</v>
      </c>
      <c r="I389" s="1" t="s">
        <v>1053</v>
      </c>
      <c r="J389" s="7">
        <v>2</v>
      </c>
      <c r="K389" s="7">
        <v>2023</v>
      </c>
      <c r="L389" s="3">
        <v>110625.52</v>
      </c>
      <c r="M389" s="9" t="s">
        <v>1960</v>
      </c>
      <c r="N389" s="2" t="s">
        <v>1874</v>
      </c>
      <c r="O389" s="3">
        <v>2967188396</v>
      </c>
      <c r="P389" t="s">
        <v>15</v>
      </c>
      <c r="Q389">
        <v>4</v>
      </c>
      <c r="R389" t="s">
        <v>1962</v>
      </c>
    </row>
    <row r="390" spans="1:18" x14ac:dyDescent="0.35">
      <c r="A390" t="s">
        <v>419</v>
      </c>
      <c r="B390" t="s">
        <v>25</v>
      </c>
      <c r="C390" t="s">
        <v>62</v>
      </c>
      <c r="D390" t="s">
        <v>1922</v>
      </c>
      <c r="E390" s="3">
        <v>30</v>
      </c>
      <c r="F390" t="s">
        <v>1813</v>
      </c>
      <c r="G390" t="s">
        <v>1820</v>
      </c>
      <c r="H390" t="s">
        <v>23</v>
      </c>
      <c r="I390" s="1" t="s">
        <v>1410</v>
      </c>
      <c r="J390" s="7">
        <v>5</v>
      </c>
      <c r="K390" s="7">
        <v>2020</v>
      </c>
      <c r="L390" s="3">
        <v>90419.79</v>
      </c>
      <c r="M390" s="9" t="s">
        <v>1960</v>
      </c>
      <c r="N390" s="2" t="s">
        <v>1857</v>
      </c>
      <c r="O390" s="3">
        <v>7457314414</v>
      </c>
      <c r="P390" t="s">
        <v>12</v>
      </c>
      <c r="Q390">
        <v>2</v>
      </c>
      <c r="R390" t="s">
        <v>1962</v>
      </c>
    </row>
    <row r="391" spans="1:18" x14ac:dyDescent="0.35">
      <c r="A391" t="s">
        <v>420</v>
      </c>
      <c r="B391" t="s">
        <v>42</v>
      </c>
      <c r="C391" t="s">
        <v>62</v>
      </c>
      <c r="D391" t="s">
        <v>1921</v>
      </c>
      <c r="E391" s="3">
        <v>40</v>
      </c>
      <c r="F391" t="s">
        <v>1815</v>
      </c>
      <c r="G391" t="s">
        <v>1816</v>
      </c>
      <c r="H391" t="s">
        <v>19</v>
      </c>
      <c r="I391" s="1" t="s">
        <v>1411</v>
      </c>
      <c r="J391" s="7">
        <v>1</v>
      </c>
      <c r="K391" s="7">
        <v>2024</v>
      </c>
      <c r="L391" s="3">
        <v>111608.76</v>
      </c>
      <c r="M391" s="9" t="s">
        <v>1960</v>
      </c>
      <c r="N391" s="2" t="s">
        <v>1856</v>
      </c>
      <c r="O391" s="3">
        <v>8331170302</v>
      </c>
      <c r="P391" t="s">
        <v>20</v>
      </c>
      <c r="Q391">
        <v>3</v>
      </c>
      <c r="R391" t="s">
        <v>1962</v>
      </c>
    </row>
    <row r="392" spans="1:18" x14ac:dyDescent="0.35">
      <c r="A392" t="s">
        <v>421</v>
      </c>
      <c r="B392" t="s">
        <v>22</v>
      </c>
      <c r="C392" t="s">
        <v>26</v>
      </c>
      <c r="D392" t="s">
        <v>1923</v>
      </c>
      <c r="E392" s="3">
        <v>35</v>
      </c>
      <c r="F392" t="s">
        <v>1815</v>
      </c>
      <c r="G392" t="s">
        <v>1820</v>
      </c>
      <c r="H392" t="s">
        <v>23</v>
      </c>
      <c r="I392" s="1" t="s">
        <v>1412</v>
      </c>
      <c r="J392" s="7">
        <v>2</v>
      </c>
      <c r="K392" s="7">
        <v>2023</v>
      </c>
      <c r="L392" s="3">
        <v>50173.120000000003</v>
      </c>
      <c r="M392" s="9" t="s">
        <v>1958</v>
      </c>
      <c r="N392" s="2" t="s">
        <v>1858</v>
      </c>
      <c r="O392" s="3">
        <v>7637153987</v>
      </c>
      <c r="P392" t="s">
        <v>27</v>
      </c>
      <c r="Q392">
        <v>1</v>
      </c>
      <c r="R392" t="s">
        <v>1963</v>
      </c>
    </row>
    <row r="393" spans="1:18" x14ac:dyDescent="0.35">
      <c r="A393" t="s">
        <v>422</v>
      </c>
      <c r="B393" t="s">
        <v>9</v>
      </c>
      <c r="C393" t="s">
        <v>26</v>
      </c>
      <c r="D393" t="s">
        <v>1924</v>
      </c>
      <c r="E393" s="3">
        <v>40</v>
      </c>
      <c r="F393" t="s">
        <v>1813</v>
      </c>
      <c r="G393" t="s">
        <v>1818</v>
      </c>
      <c r="H393" t="s">
        <v>19</v>
      </c>
      <c r="I393" s="1" t="s">
        <v>1413</v>
      </c>
      <c r="J393" s="7">
        <v>3</v>
      </c>
      <c r="K393" s="7">
        <v>2022</v>
      </c>
      <c r="L393" s="3">
        <v>109507.44</v>
      </c>
      <c r="M393" s="9" t="s">
        <v>1960</v>
      </c>
      <c r="N393" s="2" t="s">
        <v>1859</v>
      </c>
      <c r="O393" s="3">
        <v>5472812355</v>
      </c>
      <c r="P393" t="s">
        <v>20</v>
      </c>
      <c r="Q393">
        <v>3</v>
      </c>
      <c r="R393" t="s">
        <v>1963</v>
      </c>
    </row>
    <row r="394" spans="1:18" x14ac:dyDescent="0.35">
      <c r="A394" t="s">
        <v>423</v>
      </c>
      <c r="B394" t="s">
        <v>42</v>
      </c>
      <c r="C394" t="s">
        <v>29</v>
      </c>
      <c r="D394" t="s">
        <v>1908</v>
      </c>
      <c r="E394" s="3">
        <v>30</v>
      </c>
      <c r="F394" t="s">
        <v>1815</v>
      </c>
      <c r="G394" t="s">
        <v>1822</v>
      </c>
      <c r="H394" t="s">
        <v>23</v>
      </c>
      <c r="I394" s="1" t="s">
        <v>1138</v>
      </c>
      <c r="J394" s="7">
        <v>4</v>
      </c>
      <c r="K394" s="7">
        <v>2021</v>
      </c>
      <c r="L394" s="3">
        <v>72600.56</v>
      </c>
      <c r="M394" s="9" t="s">
        <v>1959</v>
      </c>
      <c r="N394" s="2" t="s">
        <v>1843</v>
      </c>
      <c r="O394" s="3">
        <v>7983631461</v>
      </c>
      <c r="P394" t="s">
        <v>15</v>
      </c>
      <c r="Q394">
        <v>4</v>
      </c>
      <c r="R394" t="s">
        <v>1963</v>
      </c>
    </row>
    <row r="395" spans="1:18" x14ac:dyDescent="0.35">
      <c r="A395" t="s">
        <v>424</v>
      </c>
      <c r="B395" t="s">
        <v>34</v>
      </c>
      <c r="C395" t="s">
        <v>29</v>
      </c>
      <c r="D395" t="s">
        <v>1909</v>
      </c>
      <c r="E395" s="3">
        <v>30</v>
      </c>
      <c r="F395" t="s">
        <v>1815</v>
      </c>
      <c r="G395" t="s">
        <v>1814</v>
      </c>
      <c r="H395" t="s">
        <v>19</v>
      </c>
      <c r="I395" s="1" t="s">
        <v>1220</v>
      </c>
      <c r="J395" s="7">
        <v>1</v>
      </c>
      <c r="K395" s="7">
        <v>2024</v>
      </c>
      <c r="L395" s="3">
        <v>53388.65</v>
      </c>
      <c r="M395" s="9" t="s">
        <v>1958</v>
      </c>
      <c r="N395" s="2" t="s">
        <v>1844</v>
      </c>
      <c r="O395" s="3">
        <v>4912711306</v>
      </c>
      <c r="P395" t="s">
        <v>27</v>
      </c>
      <c r="Q395">
        <v>1</v>
      </c>
      <c r="R395" t="s">
        <v>1962</v>
      </c>
    </row>
    <row r="396" spans="1:18" x14ac:dyDescent="0.35">
      <c r="A396" t="s">
        <v>425</v>
      </c>
      <c r="B396" t="s">
        <v>40</v>
      </c>
      <c r="C396" t="s">
        <v>26</v>
      </c>
      <c r="D396" t="s">
        <v>1904</v>
      </c>
      <c r="E396" s="3">
        <v>25</v>
      </c>
      <c r="F396" t="s">
        <v>1819</v>
      </c>
      <c r="G396" t="s">
        <v>1822</v>
      </c>
      <c r="H396" t="s">
        <v>23</v>
      </c>
      <c r="I396" s="1" t="s">
        <v>1414</v>
      </c>
      <c r="J396" s="7">
        <v>3</v>
      </c>
      <c r="K396" s="7">
        <v>2022</v>
      </c>
      <c r="L396" s="3">
        <v>50047.32</v>
      </c>
      <c r="M396" s="9" t="s">
        <v>1958</v>
      </c>
      <c r="N396" s="2" t="s">
        <v>1839</v>
      </c>
      <c r="O396" s="3">
        <v>2407875417</v>
      </c>
      <c r="P396" t="s">
        <v>20</v>
      </c>
      <c r="Q396">
        <v>3</v>
      </c>
      <c r="R396" t="s">
        <v>1963</v>
      </c>
    </row>
    <row r="397" spans="1:18" x14ac:dyDescent="0.35">
      <c r="A397" t="s">
        <v>426</v>
      </c>
      <c r="B397" t="s">
        <v>37</v>
      </c>
      <c r="C397" t="s">
        <v>14</v>
      </c>
      <c r="D397" t="s">
        <v>1938</v>
      </c>
      <c r="E397" s="3">
        <v>30</v>
      </c>
      <c r="F397" t="s">
        <v>1813</v>
      </c>
      <c r="G397" t="s">
        <v>1814</v>
      </c>
      <c r="H397" t="s">
        <v>11</v>
      </c>
      <c r="I397" s="1" t="s">
        <v>1415</v>
      </c>
      <c r="J397" s="7">
        <v>0</v>
      </c>
      <c r="K397" s="7">
        <v>2024</v>
      </c>
      <c r="L397" s="3">
        <v>115290.79</v>
      </c>
      <c r="M397" s="9" t="s">
        <v>1960</v>
      </c>
      <c r="N397" s="2" t="s">
        <v>1873</v>
      </c>
      <c r="O397" s="3">
        <v>1563268684</v>
      </c>
      <c r="P397" t="s">
        <v>27</v>
      </c>
      <c r="Q397">
        <v>1</v>
      </c>
      <c r="R397" t="s">
        <v>1963</v>
      </c>
    </row>
    <row r="398" spans="1:18" x14ac:dyDescent="0.35">
      <c r="A398" t="s">
        <v>427</v>
      </c>
      <c r="B398" t="s">
        <v>25</v>
      </c>
      <c r="C398" t="s">
        <v>29</v>
      </c>
      <c r="D398" t="s">
        <v>1932</v>
      </c>
      <c r="E398" s="3">
        <v>35</v>
      </c>
      <c r="F398" t="s">
        <v>1819</v>
      </c>
      <c r="G398" t="s">
        <v>1814</v>
      </c>
      <c r="H398" t="s">
        <v>19</v>
      </c>
      <c r="I398" s="1" t="s">
        <v>1353</v>
      </c>
      <c r="J398" s="7">
        <v>2</v>
      </c>
      <c r="K398" s="7">
        <v>2023</v>
      </c>
      <c r="L398" s="3">
        <v>61586.76</v>
      </c>
      <c r="M398" s="9" t="s">
        <v>1959</v>
      </c>
      <c r="N398" s="2" t="s">
        <v>1867</v>
      </c>
      <c r="O398" s="3">
        <v>745106633</v>
      </c>
      <c r="P398" t="s">
        <v>15</v>
      </c>
      <c r="Q398">
        <v>4</v>
      </c>
      <c r="R398" t="s">
        <v>1963</v>
      </c>
    </row>
    <row r="399" spans="1:18" x14ac:dyDescent="0.35">
      <c r="A399" t="s">
        <v>428</v>
      </c>
      <c r="B399" t="s">
        <v>22</v>
      </c>
      <c r="C399" t="s">
        <v>50</v>
      </c>
      <c r="D399" t="s">
        <v>1943</v>
      </c>
      <c r="E399" s="3">
        <v>30</v>
      </c>
      <c r="F399" t="s">
        <v>1815</v>
      </c>
      <c r="G399" t="s">
        <v>1818</v>
      </c>
      <c r="H399" t="s">
        <v>11</v>
      </c>
      <c r="I399" s="1" t="s">
        <v>1416</v>
      </c>
      <c r="J399" s="7">
        <v>1</v>
      </c>
      <c r="K399" s="7">
        <v>2023</v>
      </c>
      <c r="L399" s="3">
        <v>56662.86</v>
      </c>
      <c r="M399" s="9" t="s">
        <v>1958</v>
      </c>
      <c r="N399" s="2" t="s">
        <v>1878</v>
      </c>
      <c r="O399" s="3">
        <v>3629489785</v>
      </c>
      <c r="P399" t="s">
        <v>12</v>
      </c>
      <c r="Q399">
        <v>2</v>
      </c>
      <c r="R399" t="s">
        <v>1962</v>
      </c>
    </row>
    <row r="400" spans="1:18" x14ac:dyDescent="0.35">
      <c r="A400" t="s">
        <v>429</v>
      </c>
      <c r="B400" t="s">
        <v>9</v>
      </c>
      <c r="C400" t="s">
        <v>29</v>
      </c>
      <c r="D400" t="s">
        <v>1926</v>
      </c>
      <c r="E400" s="3">
        <v>30</v>
      </c>
      <c r="F400" t="s">
        <v>1821</v>
      </c>
      <c r="G400" t="s">
        <v>1822</v>
      </c>
      <c r="H400" t="s">
        <v>19</v>
      </c>
      <c r="I400" s="1" t="s">
        <v>1417</v>
      </c>
      <c r="J400" s="7">
        <v>2</v>
      </c>
      <c r="K400" s="7">
        <v>2023</v>
      </c>
      <c r="L400" s="3">
        <v>0</v>
      </c>
      <c r="M400" s="9" t="s">
        <v>1958</v>
      </c>
      <c r="N400" s="2" t="s">
        <v>1861</v>
      </c>
      <c r="O400" s="3">
        <v>1031310093</v>
      </c>
      <c r="P400" t="s">
        <v>15</v>
      </c>
      <c r="Q400">
        <v>4</v>
      </c>
      <c r="R400" t="s">
        <v>1962</v>
      </c>
    </row>
    <row r="401" spans="1:18" x14ac:dyDescent="0.35">
      <c r="A401" t="s">
        <v>430</v>
      </c>
      <c r="B401" t="s">
        <v>25</v>
      </c>
      <c r="C401" t="s">
        <v>62</v>
      </c>
      <c r="D401" t="s">
        <v>1922</v>
      </c>
      <c r="E401" s="3">
        <v>25</v>
      </c>
      <c r="F401" t="s">
        <v>1815</v>
      </c>
      <c r="G401" t="s">
        <v>1818</v>
      </c>
      <c r="H401" t="s">
        <v>11</v>
      </c>
      <c r="I401" s="1" t="s">
        <v>1418</v>
      </c>
      <c r="J401" s="7">
        <v>3</v>
      </c>
      <c r="K401" s="7">
        <v>2022</v>
      </c>
      <c r="L401" s="3">
        <v>54957.98</v>
      </c>
      <c r="M401" s="9" t="s">
        <v>1958</v>
      </c>
      <c r="N401" s="2" t="s">
        <v>1857</v>
      </c>
      <c r="O401" s="3">
        <v>3181439665</v>
      </c>
      <c r="P401" t="s">
        <v>15</v>
      </c>
      <c r="Q401">
        <v>4</v>
      </c>
      <c r="R401" t="s">
        <v>1962</v>
      </c>
    </row>
    <row r="402" spans="1:18" x14ac:dyDescent="0.35">
      <c r="A402" t="s">
        <v>431</v>
      </c>
      <c r="B402" t="s">
        <v>9</v>
      </c>
      <c r="C402" t="s">
        <v>29</v>
      </c>
      <c r="D402" t="s">
        <v>1926</v>
      </c>
      <c r="E402" s="3">
        <v>25</v>
      </c>
      <c r="F402" t="s">
        <v>1823</v>
      </c>
      <c r="G402" t="s">
        <v>1814</v>
      </c>
      <c r="H402" t="s">
        <v>23</v>
      </c>
      <c r="I402" s="1" t="s">
        <v>1302</v>
      </c>
      <c r="J402" s="7">
        <v>5</v>
      </c>
      <c r="K402" s="7">
        <v>2020</v>
      </c>
      <c r="L402" s="3">
        <v>76790.47</v>
      </c>
      <c r="M402" s="9" t="s">
        <v>1959</v>
      </c>
      <c r="N402" s="2" t="s">
        <v>1861</v>
      </c>
      <c r="O402" s="3">
        <v>1347323548</v>
      </c>
      <c r="P402" t="s">
        <v>15</v>
      </c>
      <c r="Q402">
        <v>4</v>
      </c>
      <c r="R402" t="s">
        <v>1962</v>
      </c>
    </row>
    <row r="403" spans="1:18" x14ac:dyDescent="0.35">
      <c r="A403" t="s">
        <v>432</v>
      </c>
      <c r="B403" t="s">
        <v>34</v>
      </c>
      <c r="C403" t="s">
        <v>14</v>
      </c>
      <c r="D403" t="s">
        <v>1918</v>
      </c>
      <c r="E403" s="3">
        <v>30</v>
      </c>
      <c r="F403" t="s">
        <v>1819</v>
      </c>
      <c r="G403" t="s">
        <v>1824</v>
      </c>
      <c r="H403" t="s">
        <v>19</v>
      </c>
      <c r="I403" s="1" t="s">
        <v>1419</v>
      </c>
      <c r="J403" s="7">
        <v>5</v>
      </c>
      <c r="K403" s="7">
        <v>2020</v>
      </c>
      <c r="L403" s="3">
        <v>92722.35</v>
      </c>
      <c r="M403" s="9" t="s">
        <v>1960</v>
      </c>
      <c r="N403" s="2" t="s">
        <v>1853</v>
      </c>
      <c r="O403" s="3">
        <v>4012897431</v>
      </c>
      <c r="P403" t="s">
        <v>15</v>
      </c>
      <c r="Q403">
        <v>4</v>
      </c>
      <c r="R403" t="s">
        <v>1963</v>
      </c>
    </row>
    <row r="404" spans="1:18" x14ac:dyDescent="0.35">
      <c r="A404" t="s">
        <v>433</v>
      </c>
      <c r="B404" t="s">
        <v>25</v>
      </c>
      <c r="C404" t="s">
        <v>26</v>
      </c>
      <c r="D404" t="s">
        <v>1896</v>
      </c>
      <c r="E404" s="3">
        <v>30</v>
      </c>
      <c r="F404" t="s">
        <v>1813</v>
      </c>
      <c r="G404" t="s">
        <v>1818</v>
      </c>
      <c r="H404" t="s">
        <v>11</v>
      </c>
      <c r="I404" s="1" t="s">
        <v>1420</v>
      </c>
      <c r="J404" s="7">
        <v>3</v>
      </c>
      <c r="K404" s="7">
        <v>2022</v>
      </c>
      <c r="L404" s="3">
        <v>93125.32</v>
      </c>
      <c r="M404" s="9" t="s">
        <v>1960</v>
      </c>
      <c r="N404" s="2" t="s">
        <v>1831</v>
      </c>
      <c r="O404" s="3">
        <v>5122572075</v>
      </c>
      <c r="P404" t="s">
        <v>12</v>
      </c>
      <c r="Q404">
        <v>2</v>
      </c>
      <c r="R404" t="s">
        <v>1963</v>
      </c>
    </row>
    <row r="405" spans="1:18" x14ac:dyDescent="0.35">
      <c r="A405" t="s">
        <v>434</v>
      </c>
      <c r="B405" t="s">
        <v>37</v>
      </c>
      <c r="C405" t="s">
        <v>62</v>
      </c>
      <c r="D405" t="s">
        <v>1949</v>
      </c>
      <c r="E405" s="3">
        <v>25</v>
      </c>
      <c r="F405" t="s">
        <v>1819</v>
      </c>
      <c r="G405" t="s">
        <v>1822</v>
      </c>
      <c r="H405" t="s">
        <v>11</v>
      </c>
      <c r="I405" s="1" t="s">
        <v>1421</v>
      </c>
      <c r="J405" s="7">
        <v>2</v>
      </c>
      <c r="K405" s="7">
        <v>2023</v>
      </c>
      <c r="L405" s="3">
        <v>101100.64</v>
      </c>
      <c r="M405" s="9" t="s">
        <v>1960</v>
      </c>
      <c r="N405" s="2" t="s">
        <v>1884</v>
      </c>
      <c r="O405" s="3">
        <v>5024120956</v>
      </c>
      <c r="P405" t="s">
        <v>12</v>
      </c>
      <c r="Q405">
        <v>2</v>
      </c>
      <c r="R405" t="s">
        <v>1963</v>
      </c>
    </row>
    <row r="406" spans="1:18" x14ac:dyDescent="0.35">
      <c r="A406" t="s">
        <v>435</v>
      </c>
      <c r="B406" t="s">
        <v>42</v>
      </c>
      <c r="C406" t="s">
        <v>29</v>
      </c>
      <c r="D406" t="s">
        <v>1908</v>
      </c>
      <c r="E406" s="3">
        <v>35</v>
      </c>
      <c r="F406" t="s">
        <v>1817</v>
      </c>
      <c r="G406" t="s">
        <v>1822</v>
      </c>
      <c r="H406" t="s">
        <v>23</v>
      </c>
      <c r="I406" s="1" t="s">
        <v>1422</v>
      </c>
      <c r="J406" s="7">
        <v>2</v>
      </c>
      <c r="K406" s="7">
        <v>2023</v>
      </c>
      <c r="L406" s="3">
        <v>55897.41</v>
      </c>
      <c r="M406" s="9" t="s">
        <v>1958</v>
      </c>
      <c r="N406" s="2" t="s">
        <v>1843</v>
      </c>
      <c r="O406" s="3">
        <v>9073710093</v>
      </c>
      <c r="P406" t="s">
        <v>27</v>
      </c>
      <c r="Q406">
        <v>1</v>
      </c>
      <c r="R406" t="s">
        <v>1963</v>
      </c>
    </row>
    <row r="407" spans="1:18" x14ac:dyDescent="0.35">
      <c r="A407" t="s">
        <v>436</v>
      </c>
      <c r="B407" t="s">
        <v>22</v>
      </c>
      <c r="C407" t="s">
        <v>14</v>
      </c>
      <c r="D407" t="s">
        <v>1927</v>
      </c>
      <c r="E407" s="3">
        <v>25</v>
      </c>
      <c r="F407" t="s">
        <v>1813</v>
      </c>
      <c r="G407" t="s">
        <v>1814</v>
      </c>
      <c r="H407" t="s">
        <v>11</v>
      </c>
      <c r="I407" s="1" t="s">
        <v>1115</v>
      </c>
      <c r="J407" s="7">
        <v>2</v>
      </c>
      <c r="K407" s="7">
        <v>2022</v>
      </c>
      <c r="L407" s="3">
        <v>92484.88</v>
      </c>
      <c r="M407" s="9" t="s">
        <v>1960</v>
      </c>
      <c r="N407" s="2" t="s">
        <v>1862</v>
      </c>
      <c r="O407" s="3">
        <v>3882211456</v>
      </c>
      <c r="P407" t="s">
        <v>20</v>
      </c>
      <c r="Q407">
        <v>3</v>
      </c>
      <c r="R407" t="s">
        <v>1962</v>
      </c>
    </row>
    <row r="408" spans="1:18" x14ac:dyDescent="0.35">
      <c r="A408" t="s">
        <v>437</v>
      </c>
      <c r="B408" t="s">
        <v>42</v>
      </c>
      <c r="C408" t="s">
        <v>50</v>
      </c>
      <c r="D408" t="s">
        <v>1930</v>
      </c>
      <c r="E408" s="3">
        <v>35</v>
      </c>
      <c r="F408" t="s">
        <v>1813</v>
      </c>
      <c r="G408" t="s">
        <v>1816</v>
      </c>
      <c r="H408" t="s">
        <v>11</v>
      </c>
      <c r="I408" s="1" t="s">
        <v>1423</v>
      </c>
      <c r="J408" s="7">
        <v>3</v>
      </c>
      <c r="K408" s="7">
        <v>2022</v>
      </c>
      <c r="L408" s="3">
        <v>77011.990000000005</v>
      </c>
      <c r="M408" s="9" t="s">
        <v>1959</v>
      </c>
      <c r="N408" s="2" t="s">
        <v>1865</v>
      </c>
      <c r="O408" s="3">
        <v>7584745704</v>
      </c>
      <c r="P408" t="s">
        <v>12</v>
      </c>
      <c r="Q408">
        <v>2</v>
      </c>
      <c r="R408" t="s">
        <v>1962</v>
      </c>
    </row>
    <row r="409" spans="1:18" x14ac:dyDescent="0.35">
      <c r="A409" t="s">
        <v>438</v>
      </c>
      <c r="B409" t="s">
        <v>9</v>
      </c>
      <c r="C409" t="s">
        <v>29</v>
      </c>
      <c r="D409" t="s">
        <v>1926</v>
      </c>
      <c r="E409" s="3">
        <v>30</v>
      </c>
      <c r="F409" t="s">
        <v>1819</v>
      </c>
      <c r="G409" t="s">
        <v>1814</v>
      </c>
      <c r="H409" t="s">
        <v>23</v>
      </c>
      <c r="I409" s="1" t="s">
        <v>1333</v>
      </c>
      <c r="J409" s="7">
        <v>5</v>
      </c>
      <c r="K409" s="7">
        <v>2020</v>
      </c>
      <c r="L409" s="3">
        <v>77078.679999999993</v>
      </c>
      <c r="M409" s="9" t="s">
        <v>1959</v>
      </c>
      <c r="N409" s="2" t="s">
        <v>1861</v>
      </c>
      <c r="O409" s="3">
        <v>4589714801</v>
      </c>
      <c r="P409" t="s">
        <v>12</v>
      </c>
      <c r="Q409">
        <v>2</v>
      </c>
      <c r="R409" t="s">
        <v>1962</v>
      </c>
    </row>
    <row r="410" spans="1:18" x14ac:dyDescent="0.35">
      <c r="A410" t="s">
        <v>439</v>
      </c>
      <c r="B410" t="s">
        <v>42</v>
      </c>
      <c r="C410" t="s">
        <v>14</v>
      </c>
      <c r="D410" t="s">
        <v>1936</v>
      </c>
      <c r="E410" s="3">
        <v>35</v>
      </c>
      <c r="F410" t="s">
        <v>1821</v>
      </c>
      <c r="G410" t="s">
        <v>1818</v>
      </c>
      <c r="H410" t="s">
        <v>11</v>
      </c>
      <c r="I410" s="1" t="s">
        <v>1424</v>
      </c>
      <c r="J410" s="7">
        <v>1</v>
      </c>
      <c r="K410" s="7">
        <v>2024</v>
      </c>
      <c r="L410" s="3">
        <v>82971.02</v>
      </c>
      <c r="M410" s="9" t="s">
        <v>1959</v>
      </c>
      <c r="N410" s="2" t="s">
        <v>1871</v>
      </c>
      <c r="O410" s="3">
        <v>6325703964</v>
      </c>
      <c r="P410" t="s">
        <v>20</v>
      </c>
      <c r="Q410">
        <v>3</v>
      </c>
      <c r="R410" t="s">
        <v>1963</v>
      </c>
    </row>
    <row r="411" spans="1:18" x14ac:dyDescent="0.35">
      <c r="A411" t="s">
        <v>440</v>
      </c>
      <c r="B411" t="s">
        <v>9</v>
      </c>
      <c r="C411" t="s">
        <v>50</v>
      </c>
      <c r="D411" t="s">
        <v>1911</v>
      </c>
      <c r="E411" s="3">
        <v>25</v>
      </c>
      <c r="F411" t="s">
        <v>1821</v>
      </c>
      <c r="G411" t="s">
        <v>1816</v>
      </c>
      <c r="H411" t="s">
        <v>11</v>
      </c>
      <c r="I411" s="1" t="s">
        <v>1095</v>
      </c>
      <c r="J411" s="7">
        <v>4</v>
      </c>
      <c r="K411" s="7">
        <v>2021</v>
      </c>
      <c r="L411" s="3">
        <v>65102.01</v>
      </c>
      <c r="M411" s="9" t="s">
        <v>1959</v>
      </c>
      <c r="N411" s="2" t="s">
        <v>1846</v>
      </c>
      <c r="O411" s="3">
        <v>3136148781</v>
      </c>
      <c r="P411" t="s">
        <v>12</v>
      </c>
      <c r="Q411">
        <v>2</v>
      </c>
      <c r="R411" t="s">
        <v>1962</v>
      </c>
    </row>
    <row r="412" spans="1:18" x14ac:dyDescent="0.35">
      <c r="A412" t="s">
        <v>441</v>
      </c>
      <c r="B412" t="s">
        <v>42</v>
      </c>
      <c r="C412" t="s">
        <v>26</v>
      </c>
      <c r="D412" t="s">
        <v>1905</v>
      </c>
      <c r="E412" s="3">
        <v>30</v>
      </c>
      <c r="F412" t="s">
        <v>1823</v>
      </c>
      <c r="G412" t="s">
        <v>1818</v>
      </c>
      <c r="H412" t="s">
        <v>19</v>
      </c>
      <c r="I412" s="1" t="s">
        <v>1425</v>
      </c>
      <c r="J412" s="7">
        <v>3</v>
      </c>
      <c r="K412" s="7">
        <v>2022</v>
      </c>
      <c r="L412" s="3">
        <v>103697.7</v>
      </c>
      <c r="M412" s="9" t="s">
        <v>1960</v>
      </c>
      <c r="N412" s="2" t="s">
        <v>1840</v>
      </c>
      <c r="O412" s="3">
        <v>4556964429</v>
      </c>
      <c r="P412" t="s">
        <v>15</v>
      </c>
      <c r="Q412">
        <v>4</v>
      </c>
      <c r="R412" t="s">
        <v>1962</v>
      </c>
    </row>
    <row r="413" spans="1:18" x14ac:dyDescent="0.35">
      <c r="A413" t="s">
        <v>442</v>
      </c>
      <c r="B413" t="s">
        <v>42</v>
      </c>
      <c r="C413" t="s">
        <v>29</v>
      </c>
      <c r="D413" t="s">
        <v>1908</v>
      </c>
      <c r="E413" s="3">
        <v>25</v>
      </c>
      <c r="F413" t="s">
        <v>1813</v>
      </c>
      <c r="G413" t="s">
        <v>1824</v>
      </c>
      <c r="H413" t="s">
        <v>19</v>
      </c>
      <c r="I413" s="1" t="s">
        <v>1407</v>
      </c>
      <c r="J413" s="7">
        <v>2</v>
      </c>
      <c r="K413" s="7">
        <v>2023</v>
      </c>
      <c r="L413" s="3">
        <v>60687.63</v>
      </c>
      <c r="M413" s="9" t="s">
        <v>1959</v>
      </c>
      <c r="N413" s="2" t="s">
        <v>1843</v>
      </c>
      <c r="O413" s="3">
        <v>9859167953</v>
      </c>
      <c r="P413" t="s">
        <v>15</v>
      </c>
      <c r="Q413">
        <v>4</v>
      </c>
      <c r="R413" t="s">
        <v>1963</v>
      </c>
    </row>
    <row r="414" spans="1:18" x14ac:dyDescent="0.35">
      <c r="A414" t="s">
        <v>443</v>
      </c>
      <c r="B414" t="s">
        <v>9</v>
      </c>
      <c r="C414" t="s">
        <v>50</v>
      </c>
      <c r="D414" t="s">
        <v>1911</v>
      </c>
      <c r="E414" s="3">
        <v>30</v>
      </c>
      <c r="F414" t="s">
        <v>1817</v>
      </c>
      <c r="G414" t="s">
        <v>1822</v>
      </c>
      <c r="H414" t="s">
        <v>19</v>
      </c>
      <c r="I414" s="1" t="s">
        <v>1426</v>
      </c>
      <c r="J414" s="7">
        <v>4</v>
      </c>
      <c r="K414" s="7">
        <v>2021</v>
      </c>
      <c r="L414" s="3">
        <v>77351.210000000006</v>
      </c>
      <c r="M414" s="9" t="s">
        <v>1959</v>
      </c>
      <c r="N414" s="2" t="s">
        <v>1846</v>
      </c>
      <c r="O414" s="3">
        <v>1072728497</v>
      </c>
      <c r="P414" t="s">
        <v>20</v>
      </c>
      <c r="Q414">
        <v>3</v>
      </c>
      <c r="R414" t="s">
        <v>1963</v>
      </c>
    </row>
    <row r="415" spans="1:18" x14ac:dyDescent="0.35">
      <c r="A415" t="s">
        <v>444</v>
      </c>
      <c r="B415" t="s">
        <v>9</v>
      </c>
      <c r="C415" t="s">
        <v>62</v>
      </c>
      <c r="D415" t="s">
        <v>1917</v>
      </c>
      <c r="E415" s="3">
        <v>35</v>
      </c>
      <c r="F415" t="s">
        <v>1813</v>
      </c>
      <c r="G415" t="s">
        <v>1820</v>
      </c>
      <c r="H415" t="s">
        <v>19</v>
      </c>
      <c r="I415" s="1" t="s">
        <v>1427</v>
      </c>
      <c r="J415" s="7">
        <v>1</v>
      </c>
      <c r="K415" s="7">
        <v>2024</v>
      </c>
      <c r="L415" s="3">
        <v>66704.62</v>
      </c>
      <c r="M415" s="9" t="s">
        <v>1959</v>
      </c>
      <c r="N415" s="2" t="s">
        <v>1852</v>
      </c>
      <c r="O415" s="3">
        <v>2474140702</v>
      </c>
      <c r="P415" t="s">
        <v>27</v>
      </c>
      <c r="Q415">
        <v>1</v>
      </c>
      <c r="R415" t="s">
        <v>1962</v>
      </c>
    </row>
    <row r="416" spans="1:18" x14ac:dyDescent="0.35">
      <c r="A416" t="s">
        <v>445</v>
      </c>
      <c r="B416" t="s">
        <v>42</v>
      </c>
      <c r="C416" t="s">
        <v>26</v>
      </c>
      <c r="D416" t="s">
        <v>1905</v>
      </c>
      <c r="E416" s="3">
        <v>25</v>
      </c>
      <c r="F416" t="s">
        <v>1815</v>
      </c>
      <c r="G416" t="s">
        <v>1824</v>
      </c>
      <c r="H416" t="s">
        <v>19</v>
      </c>
      <c r="I416" s="1" t="s">
        <v>1428</v>
      </c>
      <c r="J416" s="7">
        <v>5</v>
      </c>
      <c r="K416" s="7">
        <v>2020</v>
      </c>
      <c r="L416" s="3">
        <v>71650.3</v>
      </c>
      <c r="M416" s="9" t="s">
        <v>1959</v>
      </c>
      <c r="N416" s="2" t="s">
        <v>1840</v>
      </c>
      <c r="O416" s="3">
        <v>4910740649</v>
      </c>
      <c r="P416" t="s">
        <v>27</v>
      </c>
      <c r="Q416">
        <v>1</v>
      </c>
      <c r="R416" t="s">
        <v>1962</v>
      </c>
    </row>
    <row r="417" spans="1:18" x14ac:dyDescent="0.35">
      <c r="A417" t="s">
        <v>446</v>
      </c>
      <c r="B417" t="s">
        <v>34</v>
      </c>
      <c r="C417" t="s">
        <v>62</v>
      </c>
      <c r="D417" t="s">
        <v>1934</v>
      </c>
      <c r="E417" s="3">
        <v>25</v>
      </c>
      <c r="F417" t="s">
        <v>1819</v>
      </c>
      <c r="G417" t="s">
        <v>1818</v>
      </c>
      <c r="H417" t="s">
        <v>11</v>
      </c>
      <c r="I417" s="1" t="s">
        <v>1053</v>
      </c>
      <c r="J417" s="7">
        <v>2</v>
      </c>
      <c r="K417" s="7">
        <v>2023</v>
      </c>
      <c r="L417" s="3">
        <v>50794.54</v>
      </c>
      <c r="M417" s="9" t="s">
        <v>1958</v>
      </c>
      <c r="N417" s="2" t="s">
        <v>1869</v>
      </c>
      <c r="O417" s="3">
        <v>425488213</v>
      </c>
      <c r="P417" t="s">
        <v>20</v>
      </c>
      <c r="Q417">
        <v>3</v>
      </c>
      <c r="R417" t="s">
        <v>1962</v>
      </c>
    </row>
    <row r="418" spans="1:18" x14ac:dyDescent="0.35">
      <c r="A418" t="s">
        <v>447</v>
      </c>
      <c r="B418" t="s">
        <v>25</v>
      </c>
      <c r="C418" t="s">
        <v>18</v>
      </c>
      <c r="D418" t="s">
        <v>1898</v>
      </c>
      <c r="E418" s="3">
        <v>30</v>
      </c>
      <c r="F418" t="s">
        <v>1821</v>
      </c>
      <c r="G418" t="s">
        <v>1818</v>
      </c>
      <c r="H418" t="s">
        <v>23</v>
      </c>
      <c r="I418" s="1" t="s">
        <v>1429</v>
      </c>
      <c r="J418" s="7">
        <v>5</v>
      </c>
      <c r="K418" s="7">
        <v>2020</v>
      </c>
      <c r="L418" s="3">
        <v>76030.86</v>
      </c>
      <c r="M418" s="9" t="s">
        <v>1959</v>
      </c>
      <c r="N418" s="2" t="s">
        <v>1833</v>
      </c>
      <c r="O418" s="3">
        <v>2369143074</v>
      </c>
      <c r="P418" t="s">
        <v>20</v>
      </c>
      <c r="Q418">
        <v>3</v>
      </c>
      <c r="R418" t="s">
        <v>1962</v>
      </c>
    </row>
    <row r="419" spans="1:18" x14ac:dyDescent="0.35">
      <c r="A419" t="s">
        <v>448</v>
      </c>
      <c r="B419" t="s">
        <v>22</v>
      </c>
      <c r="C419" t="s">
        <v>35</v>
      </c>
      <c r="D419" t="s">
        <v>1948</v>
      </c>
      <c r="E419" s="3">
        <v>25</v>
      </c>
      <c r="F419" t="s">
        <v>1819</v>
      </c>
      <c r="G419" t="s">
        <v>1814</v>
      </c>
      <c r="H419" t="s">
        <v>23</v>
      </c>
      <c r="I419" s="1" t="s">
        <v>1223</v>
      </c>
      <c r="J419" s="7">
        <v>4</v>
      </c>
      <c r="K419" s="7">
        <v>2021</v>
      </c>
      <c r="L419" s="3">
        <v>86669.79</v>
      </c>
      <c r="M419" s="9" t="s">
        <v>1960</v>
      </c>
      <c r="N419" s="2" t="s">
        <v>1883</v>
      </c>
      <c r="O419" s="3">
        <v>3666144941</v>
      </c>
      <c r="P419" t="s">
        <v>15</v>
      </c>
      <c r="Q419">
        <v>4</v>
      </c>
      <c r="R419" t="s">
        <v>1962</v>
      </c>
    </row>
    <row r="420" spans="1:18" x14ac:dyDescent="0.35">
      <c r="A420" t="s">
        <v>449</v>
      </c>
      <c r="B420" t="s">
        <v>9</v>
      </c>
      <c r="C420" t="s">
        <v>29</v>
      </c>
      <c r="D420" t="s">
        <v>1926</v>
      </c>
      <c r="E420" s="3">
        <v>40</v>
      </c>
      <c r="F420" t="s">
        <v>1815</v>
      </c>
      <c r="G420" t="s">
        <v>1824</v>
      </c>
      <c r="H420" t="s">
        <v>23</v>
      </c>
      <c r="I420" s="1" t="s">
        <v>1430</v>
      </c>
      <c r="J420" s="7">
        <v>5</v>
      </c>
      <c r="K420" s="7">
        <v>2020</v>
      </c>
      <c r="L420" s="3">
        <v>84972.7</v>
      </c>
      <c r="M420" s="9" t="s">
        <v>1959</v>
      </c>
      <c r="N420" s="2" t="s">
        <v>1861</v>
      </c>
      <c r="O420" s="3">
        <v>9659234267</v>
      </c>
      <c r="P420" t="s">
        <v>27</v>
      </c>
      <c r="Q420">
        <v>1</v>
      </c>
      <c r="R420" t="s">
        <v>1962</v>
      </c>
    </row>
    <row r="421" spans="1:18" x14ac:dyDescent="0.35">
      <c r="A421" t="s">
        <v>450</v>
      </c>
      <c r="B421" t="s">
        <v>25</v>
      </c>
      <c r="C421" t="s">
        <v>50</v>
      </c>
      <c r="D421" t="s">
        <v>1914</v>
      </c>
      <c r="E421" s="3">
        <v>30</v>
      </c>
      <c r="F421" t="s">
        <v>1823</v>
      </c>
      <c r="G421" t="s">
        <v>1816</v>
      </c>
      <c r="H421" t="s">
        <v>19</v>
      </c>
      <c r="I421" s="1" t="s">
        <v>1431</v>
      </c>
      <c r="J421" s="7">
        <v>1</v>
      </c>
      <c r="K421" s="7">
        <v>2023</v>
      </c>
      <c r="L421" s="3">
        <v>100594.49</v>
      </c>
      <c r="M421" s="9" t="s">
        <v>1960</v>
      </c>
      <c r="N421" s="2" t="s">
        <v>1849</v>
      </c>
      <c r="O421" s="3">
        <v>3441497825</v>
      </c>
      <c r="P421" t="s">
        <v>12</v>
      </c>
      <c r="Q421">
        <v>2</v>
      </c>
      <c r="R421" t="s">
        <v>1963</v>
      </c>
    </row>
    <row r="422" spans="1:18" x14ac:dyDescent="0.35">
      <c r="A422" t="s">
        <v>451</v>
      </c>
      <c r="B422" t="s">
        <v>17</v>
      </c>
      <c r="C422" t="s">
        <v>35</v>
      </c>
      <c r="D422" t="s">
        <v>1925</v>
      </c>
      <c r="E422" s="3">
        <v>25</v>
      </c>
      <c r="F422" t="s">
        <v>1819</v>
      </c>
      <c r="G422" t="s">
        <v>1822</v>
      </c>
      <c r="H422" t="s">
        <v>11</v>
      </c>
      <c r="I422" s="1" t="s">
        <v>1432</v>
      </c>
      <c r="J422" s="7">
        <v>3</v>
      </c>
      <c r="K422" s="7">
        <v>2022</v>
      </c>
      <c r="L422" s="3">
        <v>75478.350000000006</v>
      </c>
      <c r="M422" s="9" t="s">
        <v>1959</v>
      </c>
      <c r="N422" s="2" t="s">
        <v>1860</v>
      </c>
      <c r="O422" s="3">
        <v>6128758574</v>
      </c>
      <c r="P422" t="s">
        <v>15</v>
      </c>
      <c r="Q422">
        <v>4</v>
      </c>
      <c r="R422" t="s">
        <v>1963</v>
      </c>
    </row>
    <row r="423" spans="1:18" x14ac:dyDescent="0.35">
      <c r="A423" t="s">
        <v>452</v>
      </c>
      <c r="B423" t="s">
        <v>34</v>
      </c>
      <c r="C423" t="s">
        <v>35</v>
      </c>
      <c r="D423" t="s">
        <v>1901</v>
      </c>
      <c r="E423" s="3">
        <v>25</v>
      </c>
      <c r="F423" t="s">
        <v>1821</v>
      </c>
      <c r="G423" t="s">
        <v>1818</v>
      </c>
      <c r="H423" t="s">
        <v>19</v>
      </c>
      <c r="I423" s="1" t="s">
        <v>1062</v>
      </c>
      <c r="J423" s="7">
        <v>2</v>
      </c>
      <c r="K423" s="7">
        <v>2023</v>
      </c>
      <c r="L423" s="3">
        <v>79355.850000000006</v>
      </c>
      <c r="M423" s="9" t="s">
        <v>1959</v>
      </c>
      <c r="N423" s="2" t="s">
        <v>1836</v>
      </c>
      <c r="O423" s="3">
        <v>6766708060</v>
      </c>
      <c r="P423" t="s">
        <v>20</v>
      </c>
      <c r="Q423">
        <v>3</v>
      </c>
      <c r="R423" t="s">
        <v>1963</v>
      </c>
    </row>
    <row r="424" spans="1:18" x14ac:dyDescent="0.35">
      <c r="A424" t="s">
        <v>453</v>
      </c>
      <c r="B424" t="s">
        <v>42</v>
      </c>
      <c r="C424" t="s">
        <v>50</v>
      </c>
      <c r="D424" t="s">
        <v>1930</v>
      </c>
      <c r="E424" s="3">
        <v>35</v>
      </c>
      <c r="F424" t="s">
        <v>1823</v>
      </c>
      <c r="G424" t="s">
        <v>1816</v>
      </c>
      <c r="H424" t="s">
        <v>19</v>
      </c>
      <c r="I424" s="1" t="s">
        <v>1433</v>
      </c>
      <c r="J424" s="7">
        <v>3</v>
      </c>
      <c r="K424" s="7">
        <v>2022</v>
      </c>
      <c r="L424" s="3">
        <v>58358.07</v>
      </c>
      <c r="M424" s="9" t="s">
        <v>1958</v>
      </c>
      <c r="N424" s="2" t="s">
        <v>1865</v>
      </c>
      <c r="O424" s="3">
        <v>2943985297</v>
      </c>
      <c r="P424" t="s">
        <v>27</v>
      </c>
      <c r="Q424">
        <v>1</v>
      </c>
      <c r="R424" t="s">
        <v>1962</v>
      </c>
    </row>
    <row r="425" spans="1:18" x14ac:dyDescent="0.35">
      <c r="A425" t="s">
        <v>454</v>
      </c>
      <c r="B425" t="s">
        <v>17</v>
      </c>
      <c r="C425" t="s">
        <v>26</v>
      </c>
      <c r="D425" t="s">
        <v>1950</v>
      </c>
      <c r="E425" s="3">
        <v>30</v>
      </c>
      <c r="F425" t="s">
        <v>1817</v>
      </c>
      <c r="G425" t="s">
        <v>1824</v>
      </c>
      <c r="H425" t="s">
        <v>11</v>
      </c>
      <c r="I425" s="1" t="s">
        <v>1434</v>
      </c>
      <c r="J425" s="7">
        <v>3</v>
      </c>
      <c r="K425" s="7">
        <v>2022</v>
      </c>
      <c r="L425" s="3">
        <v>54824.85</v>
      </c>
      <c r="M425" s="9" t="s">
        <v>1958</v>
      </c>
      <c r="N425" s="2" t="s">
        <v>1885</v>
      </c>
      <c r="O425" s="3">
        <v>9406260786</v>
      </c>
      <c r="P425" t="s">
        <v>12</v>
      </c>
      <c r="Q425">
        <v>2</v>
      </c>
      <c r="R425" t="s">
        <v>1963</v>
      </c>
    </row>
    <row r="426" spans="1:18" x14ac:dyDescent="0.35">
      <c r="A426" t="s">
        <v>455</v>
      </c>
      <c r="B426" t="s">
        <v>22</v>
      </c>
      <c r="C426" t="s">
        <v>29</v>
      </c>
      <c r="D426" t="s">
        <v>1946</v>
      </c>
      <c r="E426" s="3">
        <v>35</v>
      </c>
      <c r="F426" t="s">
        <v>1823</v>
      </c>
      <c r="G426" t="s">
        <v>1816</v>
      </c>
      <c r="H426" t="s">
        <v>19</v>
      </c>
      <c r="I426" s="1" t="s">
        <v>1178</v>
      </c>
      <c r="J426" s="7">
        <v>3</v>
      </c>
      <c r="K426" s="7">
        <v>2022</v>
      </c>
      <c r="L426" s="3">
        <v>50557.84</v>
      </c>
      <c r="M426" s="9" t="s">
        <v>1958</v>
      </c>
      <c r="N426" s="2" t="s">
        <v>1881</v>
      </c>
      <c r="O426" s="3">
        <v>104159148</v>
      </c>
      <c r="P426" t="s">
        <v>12</v>
      </c>
      <c r="Q426">
        <v>2</v>
      </c>
      <c r="R426" t="s">
        <v>1962</v>
      </c>
    </row>
    <row r="427" spans="1:18" x14ac:dyDescent="0.35">
      <c r="A427" t="s">
        <v>456</v>
      </c>
      <c r="B427" t="s">
        <v>22</v>
      </c>
      <c r="C427" t="s">
        <v>18</v>
      </c>
      <c r="D427" t="s">
        <v>1945</v>
      </c>
      <c r="E427" s="3">
        <v>30</v>
      </c>
      <c r="F427" t="s">
        <v>1817</v>
      </c>
      <c r="G427" t="s">
        <v>1820</v>
      </c>
      <c r="H427" t="s">
        <v>23</v>
      </c>
      <c r="I427" s="1" t="s">
        <v>1435</v>
      </c>
      <c r="J427" s="7">
        <v>2</v>
      </c>
      <c r="K427" s="7">
        <v>2023</v>
      </c>
      <c r="L427" s="3">
        <v>118030.04</v>
      </c>
      <c r="M427" s="9" t="s">
        <v>1960</v>
      </c>
      <c r="N427" s="2" t="s">
        <v>1880</v>
      </c>
      <c r="O427" s="3">
        <v>7501980381</v>
      </c>
      <c r="P427" t="s">
        <v>15</v>
      </c>
      <c r="Q427">
        <v>4</v>
      </c>
      <c r="R427" t="s">
        <v>1962</v>
      </c>
    </row>
    <row r="428" spans="1:18" x14ac:dyDescent="0.35">
      <c r="A428" t="s">
        <v>457</v>
      </c>
      <c r="B428" t="s">
        <v>37</v>
      </c>
      <c r="C428" t="s">
        <v>62</v>
      </c>
      <c r="D428" t="s">
        <v>1949</v>
      </c>
      <c r="E428" s="3">
        <v>30</v>
      </c>
      <c r="F428" t="s">
        <v>1817</v>
      </c>
      <c r="G428" t="s">
        <v>1822</v>
      </c>
      <c r="H428" t="s">
        <v>11</v>
      </c>
      <c r="I428" s="1" t="s">
        <v>1436</v>
      </c>
      <c r="J428" s="7">
        <v>3</v>
      </c>
      <c r="K428" s="7">
        <v>2022</v>
      </c>
      <c r="L428" s="3">
        <v>51673.72</v>
      </c>
      <c r="M428" s="9" t="s">
        <v>1958</v>
      </c>
      <c r="N428" s="2" t="s">
        <v>1884</v>
      </c>
      <c r="O428" s="3">
        <v>8723244078</v>
      </c>
      <c r="P428" t="s">
        <v>27</v>
      </c>
      <c r="Q428">
        <v>1</v>
      </c>
      <c r="R428" t="s">
        <v>1963</v>
      </c>
    </row>
    <row r="429" spans="1:18" x14ac:dyDescent="0.35">
      <c r="A429" t="s">
        <v>458</v>
      </c>
      <c r="B429" t="s">
        <v>17</v>
      </c>
      <c r="C429" t="s">
        <v>14</v>
      </c>
      <c r="D429" t="s">
        <v>1907</v>
      </c>
      <c r="E429" s="3">
        <v>35</v>
      </c>
      <c r="F429" t="s">
        <v>1819</v>
      </c>
      <c r="G429" t="s">
        <v>1818</v>
      </c>
      <c r="H429" t="s">
        <v>23</v>
      </c>
      <c r="I429" s="1" t="s">
        <v>1437</v>
      </c>
      <c r="J429" s="7">
        <v>1</v>
      </c>
      <c r="K429" s="7">
        <v>2024</v>
      </c>
      <c r="L429" s="3">
        <v>101665.79</v>
      </c>
      <c r="M429" s="9" t="s">
        <v>1960</v>
      </c>
      <c r="N429" s="2" t="s">
        <v>1842</v>
      </c>
      <c r="O429" s="3">
        <v>3110291812</v>
      </c>
      <c r="P429" t="s">
        <v>27</v>
      </c>
      <c r="Q429">
        <v>1</v>
      </c>
      <c r="R429" t="s">
        <v>1962</v>
      </c>
    </row>
    <row r="430" spans="1:18" x14ac:dyDescent="0.35">
      <c r="A430" t="s">
        <v>459</v>
      </c>
      <c r="B430" t="s">
        <v>37</v>
      </c>
      <c r="C430" t="s">
        <v>62</v>
      </c>
      <c r="D430" t="s">
        <v>1949</v>
      </c>
      <c r="E430" s="3">
        <v>30</v>
      </c>
      <c r="F430" t="s">
        <v>1817</v>
      </c>
      <c r="G430" t="s">
        <v>1820</v>
      </c>
      <c r="H430" t="s">
        <v>23</v>
      </c>
      <c r="I430" s="1" t="s">
        <v>1438</v>
      </c>
      <c r="J430" s="7">
        <v>5</v>
      </c>
      <c r="K430" s="7">
        <v>2020</v>
      </c>
      <c r="L430" s="3">
        <v>118079.15</v>
      </c>
      <c r="M430" s="9" t="s">
        <v>1960</v>
      </c>
      <c r="N430" s="2" t="s">
        <v>1884</v>
      </c>
      <c r="O430" s="3">
        <v>3170876013</v>
      </c>
      <c r="P430" t="s">
        <v>20</v>
      </c>
      <c r="Q430">
        <v>3</v>
      </c>
      <c r="R430" t="s">
        <v>1962</v>
      </c>
    </row>
    <row r="431" spans="1:18" x14ac:dyDescent="0.35">
      <c r="A431" t="s">
        <v>460</v>
      </c>
      <c r="B431" t="s">
        <v>22</v>
      </c>
      <c r="C431" t="s">
        <v>14</v>
      </c>
      <c r="D431" t="s">
        <v>1927</v>
      </c>
      <c r="E431" s="3">
        <v>25</v>
      </c>
      <c r="F431" t="s">
        <v>1819</v>
      </c>
      <c r="G431" t="s">
        <v>1822</v>
      </c>
      <c r="H431" t="s">
        <v>19</v>
      </c>
      <c r="I431" s="1" t="s">
        <v>1308</v>
      </c>
      <c r="J431" s="7">
        <v>3</v>
      </c>
      <c r="K431" s="7">
        <v>2022</v>
      </c>
      <c r="L431" s="3">
        <v>99059.28</v>
      </c>
      <c r="M431" s="9" t="s">
        <v>1960</v>
      </c>
      <c r="N431" s="2" t="s">
        <v>1862</v>
      </c>
      <c r="O431" s="3">
        <v>6723849790</v>
      </c>
      <c r="P431" t="s">
        <v>27</v>
      </c>
      <c r="Q431">
        <v>1</v>
      </c>
      <c r="R431" t="s">
        <v>1963</v>
      </c>
    </row>
    <row r="432" spans="1:18" x14ac:dyDescent="0.35">
      <c r="A432" t="s">
        <v>461</v>
      </c>
      <c r="B432" t="s">
        <v>9</v>
      </c>
      <c r="C432" t="s">
        <v>62</v>
      </c>
      <c r="D432" t="s">
        <v>1917</v>
      </c>
      <c r="E432" s="3">
        <v>30</v>
      </c>
      <c r="F432" t="s">
        <v>1819</v>
      </c>
      <c r="G432" t="s">
        <v>1824</v>
      </c>
      <c r="H432" t="s">
        <v>11</v>
      </c>
      <c r="I432" s="1" t="s">
        <v>1439</v>
      </c>
      <c r="J432" s="7">
        <v>2</v>
      </c>
      <c r="K432" s="7">
        <v>2023</v>
      </c>
      <c r="L432" s="3">
        <v>107397.4</v>
      </c>
      <c r="M432" s="9" t="s">
        <v>1960</v>
      </c>
      <c r="N432" s="2" t="s">
        <v>1852</v>
      </c>
      <c r="O432" s="3">
        <v>6202232882</v>
      </c>
      <c r="P432" t="s">
        <v>27</v>
      </c>
      <c r="Q432">
        <v>1</v>
      </c>
      <c r="R432" t="s">
        <v>1963</v>
      </c>
    </row>
    <row r="433" spans="1:18" x14ac:dyDescent="0.35">
      <c r="A433" t="s">
        <v>462</v>
      </c>
      <c r="B433" t="s">
        <v>17</v>
      </c>
      <c r="C433" t="s">
        <v>50</v>
      </c>
      <c r="D433" t="s">
        <v>1929</v>
      </c>
      <c r="E433" s="3">
        <v>40</v>
      </c>
      <c r="F433" t="s">
        <v>1813</v>
      </c>
      <c r="G433" t="s">
        <v>1822</v>
      </c>
      <c r="H433" t="s">
        <v>11</v>
      </c>
      <c r="I433" s="1" t="s">
        <v>1440</v>
      </c>
      <c r="J433" s="7">
        <v>4</v>
      </c>
      <c r="K433" s="7">
        <v>2021</v>
      </c>
      <c r="L433" s="3">
        <v>68269.37</v>
      </c>
      <c r="M433" s="9" t="s">
        <v>1959</v>
      </c>
      <c r="N433" s="2" t="s">
        <v>1864</v>
      </c>
      <c r="O433" s="3">
        <v>7744197545</v>
      </c>
      <c r="P433" t="s">
        <v>15</v>
      </c>
      <c r="Q433">
        <v>4</v>
      </c>
      <c r="R433" t="s">
        <v>1963</v>
      </c>
    </row>
    <row r="434" spans="1:18" x14ac:dyDescent="0.35">
      <c r="A434" t="s">
        <v>463</v>
      </c>
      <c r="B434" t="s">
        <v>42</v>
      </c>
      <c r="C434" t="s">
        <v>18</v>
      </c>
      <c r="D434" t="s">
        <v>1906</v>
      </c>
      <c r="E434" s="3">
        <v>35</v>
      </c>
      <c r="F434" t="s">
        <v>1823</v>
      </c>
      <c r="G434" t="s">
        <v>1820</v>
      </c>
      <c r="H434" t="s">
        <v>23</v>
      </c>
      <c r="I434" s="1" t="s">
        <v>1441</v>
      </c>
      <c r="J434" s="7">
        <v>4</v>
      </c>
      <c r="K434" s="7">
        <v>2021</v>
      </c>
      <c r="L434" s="3">
        <v>55228.12</v>
      </c>
      <c r="M434" s="9" t="s">
        <v>1958</v>
      </c>
      <c r="N434" s="2" t="s">
        <v>1841</v>
      </c>
      <c r="O434" s="3">
        <v>6176620470</v>
      </c>
      <c r="P434" t="s">
        <v>27</v>
      </c>
      <c r="Q434">
        <v>1</v>
      </c>
      <c r="R434" t="s">
        <v>1962</v>
      </c>
    </row>
    <row r="435" spans="1:18" x14ac:dyDescent="0.35">
      <c r="A435" t="s">
        <v>464</v>
      </c>
      <c r="B435" t="s">
        <v>9</v>
      </c>
      <c r="C435" t="s">
        <v>29</v>
      </c>
      <c r="D435" t="s">
        <v>1926</v>
      </c>
      <c r="E435" s="3">
        <v>30</v>
      </c>
      <c r="F435" t="s">
        <v>1819</v>
      </c>
      <c r="G435" t="s">
        <v>1822</v>
      </c>
      <c r="H435" t="s">
        <v>23</v>
      </c>
      <c r="I435" s="1" t="s">
        <v>1442</v>
      </c>
      <c r="J435" s="7">
        <v>2</v>
      </c>
      <c r="K435" s="7">
        <v>2022</v>
      </c>
      <c r="L435" s="3">
        <v>71982.33</v>
      </c>
      <c r="M435" s="9" t="s">
        <v>1959</v>
      </c>
      <c r="N435" s="2" t="s">
        <v>1861</v>
      </c>
      <c r="O435" s="3">
        <v>9609409704</v>
      </c>
      <c r="P435" t="s">
        <v>12</v>
      </c>
      <c r="Q435">
        <v>2</v>
      </c>
      <c r="R435" t="s">
        <v>1963</v>
      </c>
    </row>
    <row r="436" spans="1:18" x14ac:dyDescent="0.35">
      <c r="A436" t="s">
        <v>465</v>
      </c>
      <c r="B436" t="s">
        <v>25</v>
      </c>
      <c r="C436" t="s">
        <v>14</v>
      </c>
      <c r="D436" t="s">
        <v>1940</v>
      </c>
      <c r="E436" s="3">
        <v>30</v>
      </c>
      <c r="F436" t="s">
        <v>1815</v>
      </c>
      <c r="G436" t="s">
        <v>1814</v>
      </c>
      <c r="H436" t="s">
        <v>23</v>
      </c>
      <c r="I436" s="1" t="s">
        <v>1443</v>
      </c>
      <c r="J436" s="7">
        <v>4</v>
      </c>
      <c r="K436" s="7">
        <v>2021</v>
      </c>
      <c r="L436" s="3">
        <v>109673.75</v>
      </c>
      <c r="M436" s="9" t="s">
        <v>1960</v>
      </c>
      <c r="N436" s="2" t="s">
        <v>1875</v>
      </c>
      <c r="O436" s="3">
        <v>2774025882</v>
      </c>
      <c r="P436" t="s">
        <v>15</v>
      </c>
      <c r="Q436">
        <v>4</v>
      </c>
      <c r="R436" t="s">
        <v>1963</v>
      </c>
    </row>
    <row r="437" spans="1:18" x14ac:dyDescent="0.35">
      <c r="A437" t="s">
        <v>466</v>
      </c>
      <c r="B437" t="s">
        <v>22</v>
      </c>
      <c r="C437" t="s">
        <v>29</v>
      </c>
      <c r="D437" t="s">
        <v>1946</v>
      </c>
      <c r="E437" s="3">
        <v>30</v>
      </c>
      <c r="F437" t="s">
        <v>1819</v>
      </c>
      <c r="G437" t="s">
        <v>1822</v>
      </c>
      <c r="H437" t="s">
        <v>23</v>
      </c>
      <c r="I437" s="1" t="s">
        <v>1444</v>
      </c>
      <c r="J437" s="7">
        <v>5</v>
      </c>
      <c r="K437" s="7">
        <v>2020</v>
      </c>
      <c r="L437" s="3">
        <v>56384.9</v>
      </c>
      <c r="M437" s="9" t="s">
        <v>1958</v>
      </c>
      <c r="N437" s="2" t="s">
        <v>1881</v>
      </c>
      <c r="O437" s="3">
        <v>5868122594</v>
      </c>
      <c r="P437" t="s">
        <v>15</v>
      </c>
      <c r="Q437">
        <v>4</v>
      </c>
      <c r="R437" t="s">
        <v>1962</v>
      </c>
    </row>
    <row r="438" spans="1:18" x14ac:dyDescent="0.35">
      <c r="A438" t="s">
        <v>467</v>
      </c>
      <c r="B438" t="s">
        <v>25</v>
      </c>
      <c r="C438" t="s">
        <v>29</v>
      </c>
      <c r="D438" t="s">
        <v>1932</v>
      </c>
      <c r="E438" s="3">
        <v>40</v>
      </c>
      <c r="F438" t="s">
        <v>1821</v>
      </c>
      <c r="G438" t="s">
        <v>1816</v>
      </c>
      <c r="H438" t="s">
        <v>19</v>
      </c>
      <c r="I438" s="1" t="s">
        <v>1186</v>
      </c>
      <c r="J438" s="7">
        <v>4</v>
      </c>
      <c r="K438" s="7">
        <v>2021</v>
      </c>
      <c r="L438" s="3">
        <v>68211.679999999993</v>
      </c>
      <c r="M438" s="9" t="s">
        <v>1959</v>
      </c>
      <c r="N438" s="2" t="s">
        <v>1867</v>
      </c>
      <c r="O438" s="3">
        <v>7244617678</v>
      </c>
      <c r="P438" t="s">
        <v>20</v>
      </c>
      <c r="Q438">
        <v>3</v>
      </c>
      <c r="R438" t="s">
        <v>1963</v>
      </c>
    </row>
    <row r="439" spans="1:18" x14ac:dyDescent="0.35">
      <c r="A439" t="s">
        <v>468</v>
      </c>
      <c r="B439" t="s">
        <v>17</v>
      </c>
      <c r="C439" t="s">
        <v>29</v>
      </c>
      <c r="D439" t="s">
        <v>1897</v>
      </c>
      <c r="E439" s="3">
        <v>40</v>
      </c>
      <c r="F439" t="s">
        <v>1815</v>
      </c>
      <c r="G439" t="s">
        <v>1824</v>
      </c>
      <c r="H439" t="s">
        <v>19</v>
      </c>
      <c r="I439" s="1" t="s">
        <v>1445</v>
      </c>
      <c r="J439" s="7">
        <v>2</v>
      </c>
      <c r="K439" s="7">
        <v>2023</v>
      </c>
      <c r="L439" s="3">
        <v>67489.679999999993</v>
      </c>
      <c r="M439" s="9" t="s">
        <v>1959</v>
      </c>
      <c r="N439" s="2" t="s">
        <v>1832</v>
      </c>
      <c r="O439" s="3">
        <v>2988425994</v>
      </c>
      <c r="P439" t="s">
        <v>27</v>
      </c>
      <c r="Q439">
        <v>1</v>
      </c>
      <c r="R439" t="s">
        <v>1963</v>
      </c>
    </row>
    <row r="440" spans="1:18" x14ac:dyDescent="0.35">
      <c r="A440" t="s">
        <v>469</v>
      </c>
      <c r="B440" t="s">
        <v>34</v>
      </c>
      <c r="C440" t="s">
        <v>10</v>
      </c>
      <c r="D440" t="s">
        <v>1931</v>
      </c>
      <c r="E440" s="3">
        <v>25</v>
      </c>
      <c r="F440" t="s">
        <v>1819</v>
      </c>
      <c r="G440" t="s">
        <v>1816</v>
      </c>
      <c r="H440" t="s">
        <v>11</v>
      </c>
      <c r="I440" s="1" t="s">
        <v>1446</v>
      </c>
      <c r="J440" s="7">
        <v>5</v>
      </c>
      <c r="K440" s="7">
        <v>2020</v>
      </c>
      <c r="L440" s="3">
        <v>63869.31</v>
      </c>
      <c r="M440" s="9" t="s">
        <v>1959</v>
      </c>
      <c r="N440" s="2" t="s">
        <v>1866</v>
      </c>
      <c r="O440" s="3">
        <v>9961002310</v>
      </c>
      <c r="P440" t="s">
        <v>20</v>
      </c>
      <c r="Q440">
        <v>3</v>
      </c>
      <c r="R440" t="s">
        <v>1963</v>
      </c>
    </row>
    <row r="441" spans="1:18" x14ac:dyDescent="0.35">
      <c r="A441" t="s">
        <v>470</v>
      </c>
      <c r="B441" t="s">
        <v>9</v>
      </c>
      <c r="C441" t="s">
        <v>26</v>
      </c>
      <c r="D441" t="s">
        <v>1924</v>
      </c>
      <c r="E441" s="3">
        <v>30</v>
      </c>
      <c r="F441" t="s">
        <v>1821</v>
      </c>
      <c r="G441" t="s">
        <v>1814</v>
      </c>
      <c r="H441" t="s">
        <v>11</v>
      </c>
      <c r="I441" s="1" t="s">
        <v>1187</v>
      </c>
      <c r="J441" s="7">
        <v>5</v>
      </c>
      <c r="K441" s="7">
        <v>2020</v>
      </c>
      <c r="L441" s="3">
        <v>119801.3</v>
      </c>
      <c r="M441" s="9" t="s">
        <v>1960</v>
      </c>
      <c r="N441" s="2" t="s">
        <v>1859</v>
      </c>
      <c r="O441" s="3">
        <v>7753312660</v>
      </c>
      <c r="P441" t="s">
        <v>12</v>
      </c>
      <c r="Q441">
        <v>2</v>
      </c>
      <c r="R441" t="s">
        <v>1962</v>
      </c>
    </row>
    <row r="442" spans="1:18" x14ac:dyDescent="0.35">
      <c r="A442" t="s">
        <v>471</v>
      </c>
      <c r="B442" t="s">
        <v>40</v>
      </c>
      <c r="C442" t="s">
        <v>62</v>
      </c>
      <c r="D442" t="s">
        <v>1951</v>
      </c>
      <c r="E442" s="3">
        <v>30</v>
      </c>
      <c r="F442" t="s">
        <v>1819</v>
      </c>
      <c r="G442" t="s">
        <v>1814</v>
      </c>
      <c r="H442" t="s">
        <v>11</v>
      </c>
      <c r="I442" s="1" t="s">
        <v>1447</v>
      </c>
      <c r="J442" s="7">
        <v>5</v>
      </c>
      <c r="K442" s="7">
        <v>2020</v>
      </c>
      <c r="L442" s="3">
        <v>115959.65</v>
      </c>
      <c r="M442" s="9" t="s">
        <v>1960</v>
      </c>
      <c r="N442" s="2" t="s">
        <v>1886</v>
      </c>
      <c r="O442" s="3">
        <v>941017589</v>
      </c>
      <c r="P442" t="s">
        <v>15</v>
      </c>
      <c r="Q442">
        <v>4</v>
      </c>
      <c r="R442" t="s">
        <v>1962</v>
      </c>
    </row>
    <row r="443" spans="1:18" x14ac:dyDescent="0.35">
      <c r="A443" t="s">
        <v>472</v>
      </c>
      <c r="B443" t="s">
        <v>42</v>
      </c>
      <c r="C443" t="s">
        <v>29</v>
      </c>
      <c r="D443" t="s">
        <v>1908</v>
      </c>
      <c r="E443" s="3">
        <v>40</v>
      </c>
      <c r="F443" t="s">
        <v>1815</v>
      </c>
      <c r="G443" t="s">
        <v>1816</v>
      </c>
      <c r="H443" t="s">
        <v>23</v>
      </c>
      <c r="I443" s="1" t="s">
        <v>1448</v>
      </c>
      <c r="J443" s="7">
        <v>2</v>
      </c>
      <c r="K443" s="7">
        <v>2023</v>
      </c>
      <c r="L443" s="3">
        <v>79866.48</v>
      </c>
      <c r="M443" s="9" t="s">
        <v>1959</v>
      </c>
      <c r="N443" s="2" t="s">
        <v>1843</v>
      </c>
      <c r="O443" s="3">
        <v>2517629832</v>
      </c>
      <c r="P443" t="s">
        <v>15</v>
      </c>
      <c r="Q443">
        <v>4</v>
      </c>
      <c r="R443" t="s">
        <v>1962</v>
      </c>
    </row>
    <row r="444" spans="1:18" x14ac:dyDescent="0.35">
      <c r="A444" t="s">
        <v>473</v>
      </c>
      <c r="B444" t="s">
        <v>34</v>
      </c>
      <c r="C444" t="s">
        <v>62</v>
      </c>
      <c r="D444" t="s">
        <v>1934</v>
      </c>
      <c r="E444" s="3">
        <v>35</v>
      </c>
      <c r="F444" t="s">
        <v>1823</v>
      </c>
      <c r="G444" t="s">
        <v>1820</v>
      </c>
      <c r="H444" t="s">
        <v>11</v>
      </c>
      <c r="I444" s="1" t="s">
        <v>1449</v>
      </c>
      <c r="J444" s="7">
        <v>5</v>
      </c>
      <c r="K444" s="7">
        <v>2020</v>
      </c>
      <c r="L444" s="3">
        <v>92987.46</v>
      </c>
      <c r="M444" s="9" t="s">
        <v>1960</v>
      </c>
      <c r="N444" s="2" t="s">
        <v>1869</v>
      </c>
      <c r="O444" s="3">
        <v>4774332682</v>
      </c>
      <c r="P444" t="s">
        <v>15</v>
      </c>
      <c r="Q444">
        <v>4</v>
      </c>
      <c r="R444" t="s">
        <v>1962</v>
      </c>
    </row>
    <row r="445" spans="1:18" x14ac:dyDescent="0.35">
      <c r="A445" t="s">
        <v>474</v>
      </c>
      <c r="B445" t="s">
        <v>22</v>
      </c>
      <c r="C445" t="s">
        <v>29</v>
      </c>
      <c r="D445" t="s">
        <v>1946</v>
      </c>
      <c r="E445" s="3">
        <v>40</v>
      </c>
      <c r="F445" t="s">
        <v>1815</v>
      </c>
      <c r="G445" t="s">
        <v>1824</v>
      </c>
      <c r="H445" t="s">
        <v>23</v>
      </c>
      <c r="I445" s="1" t="s">
        <v>1450</v>
      </c>
      <c r="J445" s="7">
        <v>5</v>
      </c>
      <c r="K445" s="7">
        <v>2020</v>
      </c>
      <c r="L445" s="3">
        <v>56140.51</v>
      </c>
      <c r="M445" s="9" t="s">
        <v>1958</v>
      </c>
      <c r="N445" s="2" t="s">
        <v>1881</v>
      </c>
      <c r="O445" s="3">
        <v>1901302055</v>
      </c>
      <c r="P445" t="s">
        <v>12</v>
      </c>
      <c r="Q445">
        <v>2</v>
      </c>
      <c r="R445" t="s">
        <v>1963</v>
      </c>
    </row>
    <row r="446" spans="1:18" x14ac:dyDescent="0.35">
      <c r="A446" t="s">
        <v>475</v>
      </c>
      <c r="B446" t="s">
        <v>42</v>
      </c>
      <c r="C446" t="s">
        <v>14</v>
      </c>
      <c r="D446" t="s">
        <v>1936</v>
      </c>
      <c r="E446" s="3">
        <v>30</v>
      </c>
      <c r="F446" t="s">
        <v>1813</v>
      </c>
      <c r="G446" t="s">
        <v>1824</v>
      </c>
      <c r="H446" t="s">
        <v>11</v>
      </c>
      <c r="I446" s="1" t="s">
        <v>1451</v>
      </c>
      <c r="J446" s="7">
        <v>2</v>
      </c>
      <c r="K446" s="7">
        <v>2023</v>
      </c>
      <c r="L446" s="3">
        <v>119586.11</v>
      </c>
      <c r="M446" s="9" t="s">
        <v>1960</v>
      </c>
      <c r="N446" s="2" t="s">
        <v>1871</v>
      </c>
      <c r="O446" s="3">
        <v>9815287338</v>
      </c>
      <c r="P446" t="s">
        <v>12</v>
      </c>
      <c r="Q446">
        <v>2</v>
      </c>
      <c r="R446" t="s">
        <v>1962</v>
      </c>
    </row>
    <row r="447" spans="1:18" x14ac:dyDescent="0.35">
      <c r="A447" t="s">
        <v>476</v>
      </c>
      <c r="B447" t="s">
        <v>17</v>
      </c>
      <c r="C447" t="s">
        <v>26</v>
      </c>
      <c r="D447" t="s">
        <v>1950</v>
      </c>
      <c r="E447" s="3">
        <v>40</v>
      </c>
      <c r="F447" t="s">
        <v>1813</v>
      </c>
      <c r="G447" t="s">
        <v>1814</v>
      </c>
      <c r="H447" t="s">
        <v>23</v>
      </c>
      <c r="I447" s="1" t="s">
        <v>1201</v>
      </c>
      <c r="J447" s="7">
        <v>2</v>
      </c>
      <c r="K447" s="7">
        <v>2023</v>
      </c>
      <c r="L447" s="3">
        <v>104700.46</v>
      </c>
      <c r="M447" s="9" t="s">
        <v>1960</v>
      </c>
      <c r="N447" s="2" t="s">
        <v>1885</v>
      </c>
      <c r="O447" s="3">
        <v>7855982175</v>
      </c>
      <c r="P447" t="s">
        <v>20</v>
      </c>
      <c r="Q447">
        <v>3</v>
      </c>
      <c r="R447" t="s">
        <v>1962</v>
      </c>
    </row>
    <row r="448" spans="1:18" x14ac:dyDescent="0.35">
      <c r="A448" t="s">
        <v>477</v>
      </c>
      <c r="B448" t="s">
        <v>25</v>
      </c>
      <c r="C448" t="s">
        <v>26</v>
      </c>
      <c r="D448" t="s">
        <v>1896</v>
      </c>
      <c r="E448" s="3">
        <v>40</v>
      </c>
      <c r="F448" t="s">
        <v>1823</v>
      </c>
      <c r="G448" t="s">
        <v>1822</v>
      </c>
      <c r="H448" t="s">
        <v>11</v>
      </c>
      <c r="I448" s="1" t="s">
        <v>1382</v>
      </c>
      <c r="J448" s="7">
        <v>4</v>
      </c>
      <c r="K448" s="7">
        <v>2021</v>
      </c>
      <c r="L448" s="3">
        <v>91798.14</v>
      </c>
      <c r="M448" s="9" t="s">
        <v>1960</v>
      </c>
      <c r="N448" s="2" t="s">
        <v>1831</v>
      </c>
      <c r="O448" s="3">
        <v>6191284116</v>
      </c>
      <c r="P448" t="s">
        <v>20</v>
      </c>
      <c r="Q448">
        <v>3</v>
      </c>
      <c r="R448" t="s">
        <v>1963</v>
      </c>
    </row>
    <row r="449" spans="1:18" x14ac:dyDescent="0.35">
      <c r="A449" t="s">
        <v>478</v>
      </c>
      <c r="B449" t="s">
        <v>22</v>
      </c>
      <c r="C449" t="s">
        <v>50</v>
      </c>
      <c r="D449" t="s">
        <v>1943</v>
      </c>
      <c r="E449" s="3">
        <v>25</v>
      </c>
      <c r="F449" t="s">
        <v>1815</v>
      </c>
      <c r="G449" t="s">
        <v>1824</v>
      </c>
      <c r="H449" t="s">
        <v>23</v>
      </c>
      <c r="I449" s="1" t="s">
        <v>1452</v>
      </c>
      <c r="J449" s="7">
        <v>1</v>
      </c>
      <c r="K449" s="7">
        <v>2024</v>
      </c>
      <c r="L449" s="3">
        <v>90879.22</v>
      </c>
      <c r="M449" s="9" t="s">
        <v>1960</v>
      </c>
      <c r="N449" s="2" t="s">
        <v>1878</v>
      </c>
      <c r="O449" s="3">
        <v>3098503445</v>
      </c>
      <c r="P449" t="s">
        <v>20</v>
      </c>
      <c r="Q449">
        <v>3</v>
      </c>
      <c r="R449" t="s">
        <v>1963</v>
      </c>
    </row>
    <row r="450" spans="1:18" x14ac:dyDescent="0.35">
      <c r="A450" t="s">
        <v>479</v>
      </c>
      <c r="B450" t="s">
        <v>34</v>
      </c>
      <c r="C450" t="s">
        <v>10</v>
      </c>
      <c r="D450" t="s">
        <v>1931</v>
      </c>
      <c r="E450" s="3">
        <v>25</v>
      </c>
      <c r="F450" t="s">
        <v>1817</v>
      </c>
      <c r="G450" t="s">
        <v>1818</v>
      </c>
      <c r="H450" t="s">
        <v>11</v>
      </c>
      <c r="I450" s="1" t="s">
        <v>1453</v>
      </c>
      <c r="J450" s="7">
        <v>4</v>
      </c>
      <c r="K450" s="7">
        <v>2021</v>
      </c>
      <c r="L450" s="3">
        <v>87358.27</v>
      </c>
      <c r="M450" s="9" t="s">
        <v>1960</v>
      </c>
      <c r="N450" s="2" t="s">
        <v>1866</v>
      </c>
      <c r="O450" s="3">
        <v>5124189388</v>
      </c>
      <c r="P450" t="s">
        <v>27</v>
      </c>
      <c r="Q450">
        <v>1</v>
      </c>
      <c r="R450" t="s">
        <v>1963</v>
      </c>
    </row>
    <row r="451" spans="1:18" x14ac:dyDescent="0.35">
      <c r="A451" t="s">
        <v>480</v>
      </c>
      <c r="B451" t="s">
        <v>17</v>
      </c>
      <c r="C451" t="s">
        <v>50</v>
      </c>
      <c r="D451" t="s">
        <v>1929</v>
      </c>
      <c r="E451" s="3">
        <v>30</v>
      </c>
      <c r="F451" t="s">
        <v>1821</v>
      </c>
      <c r="G451" t="s">
        <v>1820</v>
      </c>
      <c r="H451" t="s">
        <v>23</v>
      </c>
      <c r="I451" s="1" t="s">
        <v>1454</v>
      </c>
      <c r="J451" s="7">
        <v>1</v>
      </c>
      <c r="K451" s="7">
        <v>2024</v>
      </c>
      <c r="L451" s="3">
        <v>119407.93</v>
      </c>
      <c r="M451" s="9" t="s">
        <v>1960</v>
      </c>
      <c r="N451" s="2" t="s">
        <v>1864</v>
      </c>
      <c r="O451" s="3">
        <v>8469081973</v>
      </c>
      <c r="P451" t="s">
        <v>15</v>
      </c>
      <c r="Q451">
        <v>4</v>
      </c>
      <c r="R451" t="s">
        <v>1962</v>
      </c>
    </row>
    <row r="452" spans="1:18" x14ac:dyDescent="0.35">
      <c r="A452" t="s">
        <v>481</v>
      </c>
      <c r="B452" t="s">
        <v>37</v>
      </c>
      <c r="C452" t="s">
        <v>50</v>
      </c>
      <c r="D452" t="s">
        <v>1913</v>
      </c>
      <c r="E452" s="3">
        <v>30</v>
      </c>
      <c r="F452" t="s">
        <v>1823</v>
      </c>
      <c r="G452" t="s">
        <v>1818</v>
      </c>
      <c r="H452" t="s">
        <v>19</v>
      </c>
      <c r="I452" s="1" t="s">
        <v>1455</v>
      </c>
      <c r="J452" s="7">
        <v>3</v>
      </c>
      <c r="K452" s="7">
        <v>2022</v>
      </c>
      <c r="L452" s="3">
        <v>113978.6</v>
      </c>
      <c r="M452" s="9" t="s">
        <v>1960</v>
      </c>
      <c r="N452" s="2" t="s">
        <v>1848</v>
      </c>
      <c r="O452" s="3">
        <v>56435022</v>
      </c>
      <c r="P452" t="s">
        <v>15</v>
      </c>
      <c r="Q452">
        <v>4</v>
      </c>
      <c r="R452" t="s">
        <v>1962</v>
      </c>
    </row>
    <row r="453" spans="1:18" x14ac:dyDescent="0.35">
      <c r="A453" t="s">
        <v>482</v>
      </c>
      <c r="B453" t="s">
        <v>25</v>
      </c>
      <c r="C453" t="s">
        <v>50</v>
      </c>
      <c r="D453" t="s">
        <v>1914</v>
      </c>
      <c r="E453" s="3">
        <v>30</v>
      </c>
      <c r="F453" t="s">
        <v>1821</v>
      </c>
      <c r="G453" t="s">
        <v>1822</v>
      </c>
      <c r="H453" t="s">
        <v>19</v>
      </c>
      <c r="I453" s="1" t="s">
        <v>1456</v>
      </c>
      <c r="J453" s="7">
        <v>4</v>
      </c>
      <c r="K453" s="7">
        <v>2021</v>
      </c>
      <c r="L453" s="3">
        <v>108568.78</v>
      </c>
      <c r="M453" s="9" t="s">
        <v>1960</v>
      </c>
      <c r="N453" s="2" t="s">
        <v>1849</v>
      </c>
      <c r="O453" s="3">
        <v>8503719904</v>
      </c>
      <c r="P453" t="s">
        <v>20</v>
      </c>
      <c r="Q453">
        <v>3</v>
      </c>
      <c r="R453" t="s">
        <v>1962</v>
      </c>
    </row>
    <row r="454" spans="1:18" x14ac:dyDescent="0.35">
      <c r="A454" t="s">
        <v>483</v>
      </c>
      <c r="B454" t="s">
        <v>40</v>
      </c>
      <c r="C454" t="s">
        <v>50</v>
      </c>
      <c r="D454" t="s">
        <v>1920</v>
      </c>
      <c r="E454" s="3">
        <v>30</v>
      </c>
      <c r="F454" t="s">
        <v>1823</v>
      </c>
      <c r="G454" t="s">
        <v>1822</v>
      </c>
      <c r="H454" t="s">
        <v>23</v>
      </c>
      <c r="I454" s="1" t="s">
        <v>1457</v>
      </c>
      <c r="J454" s="7">
        <v>5</v>
      </c>
      <c r="K454" s="7">
        <v>2020</v>
      </c>
      <c r="L454" s="3">
        <v>56318.02</v>
      </c>
      <c r="M454" s="9" t="s">
        <v>1958</v>
      </c>
      <c r="N454" s="2" t="s">
        <v>1855</v>
      </c>
      <c r="O454" s="3">
        <v>1699187239</v>
      </c>
      <c r="P454" t="s">
        <v>15</v>
      </c>
      <c r="Q454">
        <v>4</v>
      </c>
      <c r="R454" t="s">
        <v>1963</v>
      </c>
    </row>
    <row r="455" spans="1:18" x14ac:dyDescent="0.35">
      <c r="A455" t="s">
        <v>484</v>
      </c>
      <c r="B455" t="s">
        <v>37</v>
      </c>
      <c r="C455" t="s">
        <v>50</v>
      </c>
      <c r="D455" t="s">
        <v>1913</v>
      </c>
      <c r="E455" s="3">
        <v>25</v>
      </c>
      <c r="F455" t="s">
        <v>1821</v>
      </c>
      <c r="G455" t="s">
        <v>1820</v>
      </c>
      <c r="H455" t="s">
        <v>11</v>
      </c>
      <c r="I455" s="1" t="s">
        <v>1458</v>
      </c>
      <c r="J455" s="7">
        <v>4</v>
      </c>
      <c r="K455" s="7">
        <v>2021</v>
      </c>
      <c r="L455" s="3">
        <v>114252.73</v>
      </c>
      <c r="M455" s="9" t="s">
        <v>1960</v>
      </c>
      <c r="N455" s="2" t="s">
        <v>1848</v>
      </c>
      <c r="O455" s="3">
        <v>1078356742</v>
      </c>
      <c r="P455" t="s">
        <v>20</v>
      </c>
      <c r="Q455">
        <v>3</v>
      </c>
      <c r="R455" t="s">
        <v>1963</v>
      </c>
    </row>
    <row r="456" spans="1:18" x14ac:dyDescent="0.35">
      <c r="A456" t="s">
        <v>485</v>
      </c>
      <c r="B456" t="s">
        <v>34</v>
      </c>
      <c r="C456" t="s">
        <v>18</v>
      </c>
      <c r="D456" t="s">
        <v>1916</v>
      </c>
      <c r="E456" s="3">
        <v>35</v>
      </c>
      <c r="F456" t="s">
        <v>1813</v>
      </c>
      <c r="G456" t="s">
        <v>1822</v>
      </c>
      <c r="H456" t="s">
        <v>23</v>
      </c>
      <c r="I456" s="1" t="s">
        <v>1459</v>
      </c>
      <c r="J456" s="7">
        <v>5</v>
      </c>
      <c r="K456" s="7">
        <v>2020</v>
      </c>
      <c r="L456" s="3">
        <v>51533.9</v>
      </c>
      <c r="M456" s="9" t="s">
        <v>1958</v>
      </c>
      <c r="N456" s="2" t="s">
        <v>1851</v>
      </c>
      <c r="O456" s="3">
        <v>3896086</v>
      </c>
      <c r="P456" t="s">
        <v>27</v>
      </c>
      <c r="Q456">
        <v>1</v>
      </c>
      <c r="R456" t="s">
        <v>1962</v>
      </c>
    </row>
    <row r="457" spans="1:18" x14ac:dyDescent="0.35">
      <c r="A457" t="s">
        <v>486</v>
      </c>
      <c r="B457" t="s">
        <v>34</v>
      </c>
      <c r="C457" t="s">
        <v>26</v>
      </c>
      <c r="D457" t="s">
        <v>1910</v>
      </c>
      <c r="E457" s="3">
        <v>25</v>
      </c>
      <c r="F457" t="s">
        <v>1821</v>
      </c>
      <c r="G457" t="s">
        <v>1814</v>
      </c>
      <c r="H457" t="s">
        <v>11</v>
      </c>
      <c r="I457" s="1" t="s">
        <v>1460</v>
      </c>
      <c r="J457" s="7">
        <v>3</v>
      </c>
      <c r="K457" s="7">
        <v>2022</v>
      </c>
      <c r="L457" s="3">
        <v>99317.66</v>
      </c>
      <c r="M457" s="9" t="s">
        <v>1960</v>
      </c>
      <c r="N457" s="2" t="s">
        <v>1845</v>
      </c>
      <c r="O457" s="3">
        <v>662668216</v>
      </c>
      <c r="P457" t="s">
        <v>27</v>
      </c>
      <c r="Q457">
        <v>1</v>
      </c>
      <c r="R457" t="s">
        <v>1963</v>
      </c>
    </row>
    <row r="458" spans="1:18" x14ac:dyDescent="0.35">
      <c r="A458" t="s">
        <v>487</v>
      </c>
      <c r="B458" t="s">
        <v>9</v>
      </c>
      <c r="C458" t="s">
        <v>50</v>
      </c>
      <c r="D458" t="s">
        <v>1911</v>
      </c>
      <c r="E458" s="3">
        <v>35</v>
      </c>
      <c r="F458" t="s">
        <v>1823</v>
      </c>
      <c r="G458" t="s">
        <v>1814</v>
      </c>
      <c r="H458" t="s">
        <v>11</v>
      </c>
      <c r="I458" s="1" t="s">
        <v>1461</v>
      </c>
      <c r="J458" s="7">
        <v>5</v>
      </c>
      <c r="K458" s="7">
        <v>2020</v>
      </c>
      <c r="L458" s="3">
        <v>101264.64</v>
      </c>
      <c r="M458" s="9" t="s">
        <v>1960</v>
      </c>
      <c r="N458" s="2" t="s">
        <v>1846</v>
      </c>
      <c r="O458" s="3">
        <v>1955356032</v>
      </c>
      <c r="P458" t="s">
        <v>12</v>
      </c>
      <c r="Q458">
        <v>2</v>
      </c>
      <c r="R458" t="s">
        <v>1963</v>
      </c>
    </row>
    <row r="459" spans="1:18" x14ac:dyDescent="0.35">
      <c r="A459" t="s">
        <v>488</v>
      </c>
      <c r="B459" t="s">
        <v>40</v>
      </c>
      <c r="C459" t="s">
        <v>29</v>
      </c>
      <c r="D459" t="s">
        <v>1942</v>
      </c>
      <c r="E459" s="3">
        <v>35</v>
      </c>
      <c r="F459" t="s">
        <v>1817</v>
      </c>
      <c r="G459" t="s">
        <v>1818</v>
      </c>
      <c r="H459" t="s">
        <v>19</v>
      </c>
      <c r="I459" s="1" t="s">
        <v>1462</v>
      </c>
      <c r="J459" s="7">
        <v>2</v>
      </c>
      <c r="K459" s="7">
        <v>2023</v>
      </c>
      <c r="L459" s="3">
        <v>112272.02</v>
      </c>
      <c r="M459" s="9" t="s">
        <v>1960</v>
      </c>
      <c r="N459" s="2" t="s">
        <v>1877</v>
      </c>
      <c r="O459" s="3">
        <v>1903689002</v>
      </c>
      <c r="P459" t="s">
        <v>27</v>
      </c>
      <c r="Q459">
        <v>1</v>
      </c>
      <c r="R459" t="s">
        <v>1963</v>
      </c>
    </row>
    <row r="460" spans="1:18" x14ac:dyDescent="0.35">
      <c r="A460" t="s">
        <v>489</v>
      </c>
      <c r="B460" t="s">
        <v>25</v>
      </c>
      <c r="C460" t="s">
        <v>26</v>
      </c>
      <c r="D460" t="s">
        <v>1896</v>
      </c>
      <c r="E460" s="3">
        <v>30</v>
      </c>
      <c r="F460" t="s">
        <v>1813</v>
      </c>
      <c r="G460" t="s">
        <v>1824</v>
      </c>
      <c r="H460" t="s">
        <v>11</v>
      </c>
      <c r="I460" s="1" t="s">
        <v>1463</v>
      </c>
      <c r="J460" s="7">
        <v>3</v>
      </c>
      <c r="K460" s="7">
        <v>2022</v>
      </c>
      <c r="L460" s="3">
        <v>71477.63</v>
      </c>
      <c r="M460" s="9" t="s">
        <v>1959</v>
      </c>
      <c r="N460" s="2" t="s">
        <v>1831</v>
      </c>
      <c r="O460" s="3">
        <v>102724054</v>
      </c>
      <c r="P460" t="s">
        <v>20</v>
      </c>
      <c r="Q460">
        <v>3</v>
      </c>
      <c r="R460" t="s">
        <v>1962</v>
      </c>
    </row>
    <row r="461" spans="1:18" x14ac:dyDescent="0.35">
      <c r="A461" t="s">
        <v>490</v>
      </c>
      <c r="B461" t="s">
        <v>34</v>
      </c>
      <c r="C461" t="s">
        <v>26</v>
      </c>
      <c r="D461" t="s">
        <v>1910</v>
      </c>
      <c r="E461" s="3">
        <v>30</v>
      </c>
      <c r="F461" t="s">
        <v>1813</v>
      </c>
      <c r="G461" t="s">
        <v>1816</v>
      </c>
      <c r="H461" t="s">
        <v>19</v>
      </c>
      <c r="I461" s="1" t="s">
        <v>1464</v>
      </c>
      <c r="J461" s="7">
        <v>2</v>
      </c>
      <c r="K461" s="7">
        <v>2023</v>
      </c>
      <c r="L461" s="3">
        <v>77412.100000000006</v>
      </c>
      <c r="M461" s="9" t="s">
        <v>1959</v>
      </c>
      <c r="N461" s="2" t="s">
        <v>1845</v>
      </c>
      <c r="O461" s="3">
        <v>9342967110</v>
      </c>
      <c r="P461" t="s">
        <v>27</v>
      </c>
      <c r="Q461">
        <v>1</v>
      </c>
      <c r="R461" t="s">
        <v>1963</v>
      </c>
    </row>
    <row r="462" spans="1:18" x14ac:dyDescent="0.35">
      <c r="A462" t="s">
        <v>491</v>
      </c>
      <c r="B462" t="s">
        <v>17</v>
      </c>
      <c r="C462" t="s">
        <v>35</v>
      </c>
      <c r="D462" t="s">
        <v>1925</v>
      </c>
      <c r="E462" s="3">
        <v>30</v>
      </c>
      <c r="F462" t="s">
        <v>1821</v>
      </c>
      <c r="G462" t="s">
        <v>1814</v>
      </c>
      <c r="H462" t="s">
        <v>19</v>
      </c>
      <c r="I462" s="1" t="s">
        <v>1465</v>
      </c>
      <c r="J462" s="7">
        <v>4</v>
      </c>
      <c r="K462" s="7">
        <v>2021</v>
      </c>
      <c r="L462" s="3">
        <v>94775.27</v>
      </c>
      <c r="M462" s="9" t="s">
        <v>1960</v>
      </c>
      <c r="N462" s="2" t="s">
        <v>1860</v>
      </c>
      <c r="O462" s="3">
        <v>4837537457</v>
      </c>
      <c r="P462" t="s">
        <v>12</v>
      </c>
      <c r="Q462">
        <v>2</v>
      </c>
      <c r="R462" t="s">
        <v>1963</v>
      </c>
    </row>
    <row r="463" spans="1:18" x14ac:dyDescent="0.35">
      <c r="A463" t="s">
        <v>492</v>
      </c>
      <c r="B463" t="s">
        <v>40</v>
      </c>
      <c r="C463" t="s">
        <v>18</v>
      </c>
      <c r="D463" t="s">
        <v>1947</v>
      </c>
      <c r="E463" s="3">
        <v>30</v>
      </c>
      <c r="F463" t="s">
        <v>1823</v>
      </c>
      <c r="G463" t="s">
        <v>1818</v>
      </c>
      <c r="H463" t="s">
        <v>11</v>
      </c>
      <c r="I463" s="1" t="s">
        <v>1466</v>
      </c>
      <c r="J463" s="7">
        <v>4</v>
      </c>
      <c r="K463" s="7">
        <v>2021</v>
      </c>
      <c r="L463" s="3">
        <v>74276.710000000006</v>
      </c>
      <c r="M463" s="9" t="s">
        <v>1959</v>
      </c>
      <c r="N463" s="2" t="s">
        <v>1882</v>
      </c>
      <c r="O463" s="3">
        <v>4384588104</v>
      </c>
      <c r="P463" t="s">
        <v>15</v>
      </c>
      <c r="Q463">
        <v>4</v>
      </c>
      <c r="R463" t="s">
        <v>1962</v>
      </c>
    </row>
    <row r="464" spans="1:18" x14ac:dyDescent="0.35">
      <c r="A464" t="s">
        <v>493</v>
      </c>
      <c r="B464" t="s">
        <v>9</v>
      </c>
      <c r="C464" t="s">
        <v>50</v>
      </c>
      <c r="D464" t="s">
        <v>1911</v>
      </c>
      <c r="E464" s="3">
        <v>35</v>
      </c>
      <c r="F464" t="s">
        <v>1815</v>
      </c>
      <c r="G464" t="s">
        <v>1816</v>
      </c>
      <c r="H464" t="s">
        <v>23</v>
      </c>
      <c r="I464" s="1" t="s">
        <v>1467</v>
      </c>
      <c r="J464" s="7">
        <v>4</v>
      </c>
      <c r="K464" s="7">
        <v>2021</v>
      </c>
      <c r="L464" s="3">
        <v>67467.86</v>
      </c>
      <c r="M464" s="9" t="s">
        <v>1959</v>
      </c>
      <c r="N464" s="2" t="s">
        <v>1846</v>
      </c>
      <c r="O464" s="3">
        <v>6974132833</v>
      </c>
      <c r="P464" t="s">
        <v>20</v>
      </c>
      <c r="Q464">
        <v>3</v>
      </c>
      <c r="R464" t="s">
        <v>1962</v>
      </c>
    </row>
    <row r="465" spans="1:18" x14ac:dyDescent="0.35">
      <c r="A465" t="s">
        <v>494</v>
      </c>
      <c r="B465" t="s">
        <v>22</v>
      </c>
      <c r="C465" t="s">
        <v>62</v>
      </c>
      <c r="D465" t="s">
        <v>1955</v>
      </c>
      <c r="E465" s="3">
        <v>25</v>
      </c>
      <c r="F465" t="s">
        <v>1813</v>
      </c>
      <c r="G465" t="s">
        <v>1816</v>
      </c>
      <c r="H465" t="s">
        <v>11</v>
      </c>
      <c r="I465" s="1" t="s">
        <v>1468</v>
      </c>
      <c r="J465" s="7">
        <v>3</v>
      </c>
      <c r="K465" s="7">
        <v>2022</v>
      </c>
      <c r="L465" s="3">
        <v>80675.41</v>
      </c>
      <c r="M465" s="9" t="s">
        <v>1959</v>
      </c>
      <c r="N465" s="2" t="s">
        <v>1890</v>
      </c>
      <c r="O465" s="3">
        <v>8315203770</v>
      </c>
      <c r="P465" t="s">
        <v>15</v>
      </c>
      <c r="Q465">
        <v>4</v>
      </c>
      <c r="R465" t="s">
        <v>1963</v>
      </c>
    </row>
    <row r="466" spans="1:18" x14ac:dyDescent="0.35">
      <c r="A466" t="s">
        <v>495</v>
      </c>
      <c r="B466" t="s">
        <v>34</v>
      </c>
      <c r="C466" t="s">
        <v>14</v>
      </c>
      <c r="D466" t="s">
        <v>1918</v>
      </c>
      <c r="E466" s="3">
        <v>40</v>
      </c>
      <c r="F466" t="s">
        <v>1815</v>
      </c>
      <c r="G466" t="s">
        <v>1820</v>
      </c>
      <c r="H466" t="s">
        <v>23</v>
      </c>
      <c r="I466" s="1" t="s">
        <v>1469</v>
      </c>
      <c r="J466" s="7">
        <v>2</v>
      </c>
      <c r="K466" s="7">
        <v>2023</v>
      </c>
      <c r="L466" s="3">
        <v>76274.33</v>
      </c>
      <c r="M466" s="9" t="s">
        <v>1959</v>
      </c>
      <c r="N466" s="2" t="s">
        <v>1853</v>
      </c>
      <c r="O466" s="3">
        <v>704496409</v>
      </c>
      <c r="P466" t="s">
        <v>12</v>
      </c>
      <c r="Q466">
        <v>2</v>
      </c>
      <c r="R466" t="s">
        <v>1963</v>
      </c>
    </row>
    <row r="467" spans="1:18" x14ac:dyDescent="0.35">
      <c r="A467" t="s">
        <v>496</v>
      </c>
      <c r="B467" t="s">
        <v>37</v>
      </c>
      <c r="C467" t="s">
        <v>10</v>
      </c>
      <c r="D467" t="s">
        <v>1903</v>
      </c>
      <c r="E467" s="3">
        <v>30</v>
      </c>
      <c r="F467" t="s">
        <v>1815</v>
      </c>
      <c r="G467" t="s">
        <v>1816</v>
      </c>
      <c r="H467" t="s">
        <v>11</v>
      </c>
      <c r="I467" s="1" t="s">
        <v>1470</v>
      </c>
      <c r="J467" s="7">
        <v>4</v>
      </c>
      <c r="K467" s="7">
        <v>2021</v>
      </c>
      <c r="L467" s="3">
        <v>51405.46</v>
      </c>
      <c r="M467" s="9" t="s">
        <v>1958</v>
      </c>
      <c r="N467" s="2" t="s">
        <v>1838</v>
      </c>
      <c r="O467" s="3">
        <v>4967066702</v>
      </c>
      <c r="P467" t="s">
        <v>12</v>
      </c>
      <c r="Q467">
        <v>2</v>
      </c>
      <c r="R467" t="s">
        <v>1962</v>
      </c>
    </row>
    <row r="468" spans="1:18" x14ac:dyDescent="0.35">
      <c r="A468" t="s">
        <v>497</v>
      </c>
      <c r="B468" t="s">
        <v>9</v>
      </c>
      <c r="C468" t="s">
        <v>29</v>
      </c>
      <c r="D468" t="s">
        <v>1926</v>
      </c>
      <c r="E468" s="3">
        <v>25</v>
      </c>
      <c r="F468" t="s">
        <v>1823</v>
      </c>
      <c r="G468" t="s">
        <v>1822</v>
      </c>
      <c r="H468" t="s">
        <v>23</v>
      </c>
      <c r="I468" s="1" t="s">
        <v>1471</v>
      </c>
      <c r="J468" s="7">
        <v>4</v>
      </c>
      <c r="K468" s="7">
        <v>2020</v>
      </c>
      <c r="L468" s="3">
        <v>101238.96</v>
      </c>
      <c r="M468" s="9" t="s">
        <v>1960</v>
      </c>
      <c r="N468" s="2" t="s">
        <v>1861</v>
      </c>
      <c r="O468" s="3">
        <v>3626804084</v>
      </c>
      <c r="P468" t="s">
        <v>12</v>
      </c>
      <c r="Q468">
        <v>2</v>
      </c>
      <c r="R468" t="s">
        <v>1962</v>
      </c>
    </row>
    <row r="469" spans="1:18" x14ac:dyDescent="0.35">
      <c r="A469" t="s">
        <v>498</v>
      </c>
      <c r="B469" t="s">
        <v>9</v>
      </c>
      <c r="C469" t="s">
        <v>62</v>
      </c>
      <c r="D469" t="s">
        <v>1917</v>
      </c>
      <c r="E469" s="3">
        <v>35</v>
      </c>
      <c r="F469" t="s">
        <v>1821</v>
      </c>
      <c r="G469" t="s">
        <v>1824</v>
      </c>
      <c r="H469" t="s">
        <v>23</v>
      </c>
      <c r="I469" s="1" t="s">
        <v>1472</v>
      </c>
      <c r="J469" s="7">
        <v>1</v>
      </c>
      <c r="K469" s="7">
        <v>2023</v>
      </c>
      <c r="L469" s="3">
        <v>52169.52</v>
      </c>
      <c r="M469" s="9" t="s">
        <v>1958</v>
      </c>
      <c r="N469" s="2" t="s">
        <v>1852</v>
      </c>
      <c r="O469" s="3">
        <v>954930595</v>
      </c>
      <c r="P469" t="s">
        <v>15</v>
      </c>
      <c r="Q469">
        <v>4</v>
      </c>
      <c r="R469" t="s">
        <v>1963</v>
      </c>
    </row>
    <row r="470" spans="1:18" x14ac:dyDescent="0.35">
      <c r="A470" t="s">
        <v>499</v>
      </c>
      <c r="B470" t="s">
        <v>34</v>
      </c>
      <c r="C470" t="s">
        <v>18</v>
      </c>
      <c r="D470" t="s">
        <v>1916</v>
      </c>
      <c r="E470" s="3">
        <v>30</v>
      </c>
      <c r="F470" t="s">
        <v>1815</v>
      </c>
      <c r="G470" t="s">
        <v>1822</v>
      </c>
      <c r="H470" t="s">
        <v>11</v>
      </c>
      <c r="I470" s="1" t="s">
        <v>1473</v>
      </c>
      <c r="J470" s="7">
        <v>5</v>
      </c>
      <c r="K470" s="7">
        <v>2020</v>
      </c>
      <c r="L470" s="3">
        <v>73176.62</v>
      </c>
      <c r="M470" s="9" t="s">
        <v>1959</v>
      </c>
      <c r="N470" s="2" t="s">
        <v>1851</v>
      </c>
      <c r="O470" s="3">
        <v>6018648768</v>
      </c>
      <c r="P470" t="s">
        <v>15</v>
      </c>
      <c r="Q470">
        <v>4</v>
      </c>
      <c r="R470" t="s">
        <v>1963</v>
      </c>
    </row>
    <row r="471" spans="1:18" x14ac:dyDescent="0.35">
      <c r="A471" t="s">
        <v>500</v>
      </c>
      <c r="B471" t="s">
        <v>42</v>
      </c>
      <c r="C471" t="s">
        <v>14</v>
      </c>
      <c r="D471" t="s">
        <v>1936</v>
      </c>
      <c r="E471" s="3">
        <v>30</v>
      </c>
      <c r="F471" t="s">
        <v>1813</v>
      </c>
      <c r="G471" t="s">
        <v>1818</v>
      </c>
      <c r="H471" t="s">
        <v>19</v>
      </c>
      <c r="I471" s="1" t="s">
        <v>1090</v>
      </c>
      <c r="J471" s="7">
        <v>4</v>
      </c>
      <c r="K471" s="7">
        <v>2021</v>
      </c>
      <c r="L471" s="3">
        <v>96241.85</v>
      </c>
      <c r="M471" s="9" t="s">
        <v>1960</v>
      </c>
      <c r="N471" s="2" t="s">
        <v>1871</v>
      </c>
      <c r="O471" s="3">
        <v>9842673203</v>
      </c>
      <c r="P471" t="s">
        <v>15</v>
      </c>
      <c r="Q471">
        <v>4</v>
      </c>
      <c r="R471" t="s">
        <v>1963</v>
      </c>
    </row>
    <row r="472" spans="1:18" x14ac:dyDescent="0.35">
      <c r="A472" t="s">
        <v>501</v>
      </c>
      <c r="B472" t="s">
        <v>9</v>
      </c>
      <c r="C472" t="s">
        <v>18</v>
      </c>
      <c r="D472" t="s">
        <v>1899</v>
      </c>
      <c r="E472" s="3">
        <v>25</v>
      </c>
      <c r="F472" t="s">
        <v>1815</v>
      </c>
      <c r="G472" t="s">
        <v>1824</v>
      </c>
      <c r="H472" t="s">
        <v>19</v>
      </c>
      <c r="I472" s="1" t="s">
        <v>1118</v>
      </c>
      <c r="J472" s="7">
        <v>1</v>
      </c>
      <c r="K472" s="7">
        <v>2024</v>
      </c>
      <c r="L472" s="3">
        <v>84366.38</v>
      </c>
      <c r="M472" s="9" t="s">
        <v>1959</v>
      </c>
      <c r="N472" s="2" t="s">
        <v>1834</v>
      </c>
      <c r="O472" s="3">
        <v>4138459608</v>
      </c>
      <c r="P472" t="s">
        <v>15</v>
      </c>
      <c r="Q472">
        <v>4</v>
      </c>
      <c r="R472" t="s">
        <v>1963</v>
      </c>
    </row>
    <row r="473" spans="1:18" x14ac:dyDescent="0.35">
      <c r="A473" t="s">
        <v>502</v>
      </c>
      <c r="B473" t="s">
        <v>17</v>
      </c>
      <c r="C473" t="s">
        <v>29</v>
      </c>
      <c r="D473" t="s">
        <v>1897</v>
      </c>
      <c r="E473" s="3">
        <v>40</v>
      </c>
      <c r="F473" t="s">
        <v>1819</v>
      </c>
      <c r="G473" t="s">
        <v>1814</v>
      </c>
      <c r="H473" t="s">
        <v>19</v>
      </c>
      <c r="I473" s="1" t="s">
        <v>1380</v>
      </c>
      <c r="J473" s="7">
        <v>2</v>
      </c>
      <c r="K473" s="7">
        <v>2023</v>
      </c>
      <c r="L473" s="3">
        <v>92015.09</v>
      </c>
      <c r="M473" s="9" t="s">
        <v>1960</v>
      </c>
      <c r="N473" s="2" t="s">
        <v>1832</v>
      </c>
      <c r="O473" s="3">
        <v>4544901494</v>
      </c>
      <c r="P473" t="s">
        <v>12</v>
      </c>
      <c r="Q473">
        <v>2</v>
      </c>
      <c r="R473" t="s">
        <v>1962</v>
      </c>
    </row>
    <row r="474" spans="1:18" x14ac:dyDescent="0.35">
      <c r="A474" t="s">
        <v>503</v>
      </c>
      <c r="B474" t="s">
        <v>17</v>
      </c>
      <c r="C474" t="s">
        <v>26</v>
      </c>
      <c r="D474" t="s">
        <v>1950</v>
      </c>
      <c r="E474" s="3">
        <v>30</v>
      </c>
      <c r="F474" t="s">
        <v>1817</v>
      </c>
      <c r="G474" t="s">
        <v>1818</v>
      </c>
      <c r="H474" t="s">
        <v>23</v>
      </c>
      <c r="I474" s="1" t="s">
        <v>1474</v>
      </c>
      <c r="J474" s="7">
        <v>5</v>
      </c>
      <c r="K474" s="7">
        <v>2020</v>
      </c>
      <c r="L474" s="3">
        <v>83149.95</v>
      </c>
      <c r="M474" s="9" t="s">
        <v>1959</v>
      </c>
      <c r="N474" s="2" t="s">
        <v>1885</v>
      </c>
      <c r="O474" s="3">
        <v>4277070704</v>
      </c>
      <c r="P474" t="s">
        <v>12</v>
      </c>
      <c r="Q474">
        <v>2</v>
      </c>
      <c r="R474" t="s">
        <v>1963</v>
      </c>
    </row>
    <row r="475" spans="1:18" x14ac:dyDescent="0.35">
      <c r="A475" t="s">
        <v>504</v>
      </c>
      <c r="B475" t="s">
        <v>42</v>
      </c>
      <c r="C475" t="s">
        <v>14</v>
      </c>
      <c r="D475" t="s">
        <v>1936</v>
      </c>
      <c r="E475" s="3">
        <v>40</v>
      </c>
      <c r="F475" t="s">
        <v>1815</v>
      </c>
      <c r="G475" t="s">
        <v>1818</v>
      </c>
      <c r="H475" t="s">
        <v>23</v>
      </c>
      <c r="I475" s="1" t="s">
        <v>1214</v>
      </c>
      <c r="J475" s="7">
        <v>5</v>
      </c>
      <c r="K475" s="7">
        <v>2020</v>
      </c>
      <c r="L475" s="3">
        <v>94930.65</v>
      </c>
      <c r="M475" s="9" t="s">
        <v>1960</v>
      </c>
      <c r="N475" s="2" t="s">
        <v>1871</v>
      </c>
      <c r="O475" s="3">
        <v>7836091497</v>
      </c>
      <c r="P475" t="s">
        <v>20</v>
      </c>
      <c r="Q475">
        <v>3</v>
      </c>
      <c r="R475" t="s">
        <v>1963</v>
      </c>
    </row>
    <row r="476" spans="1:18" x14ac:dyDescent="0.35">
      <c r="A476" t="s">
        <v>505</v>
      </c>
      <c r="B476" t="s">
        <v>25</v>
      </c>
      <c r="C476" t="s">
        <v>26</v>
      </c>
      <c r="D476" t="s">
        <v>1896</v>
      </c>
      <c r="E476" s="3">
        <v>40</v>
      </c>
      <c r="F476" t="s">
        <v>1823</v>
      </c>
      <c r="G476" t="s">
        <v>1822</v>
      </c>
      <c r="H476" t="s">
        <v>23</v>
      </c>
      <c r="I476" s="1" t="s">
        <v>1475</v>
      </c>
      <c r="J476" s="7">
        <v>5</v>
      </c>
      <c r="K476" s="7">
        <v>2020</v>
      </c>
      <c r="L476" s="3">
        <v>68430.720000000001</v>
      </c>
      <c r="M476" s="9" t="s">
        <v>1959</v>
      </c>
      <c r="N476" s="2" t="s">
        <v>1831</v>
      </c>
      <c r="O476" s="3">
        <v>5172444722</v>
      </c>
      <c r="P476" t="s">
        <v>20</v>
      </c>
      <c r="Q476">
        <v>3</v>
      </c>
      <c r="R476" t="s">
        <v>1962</v>
      </c>
    </row>
    <row r="477" spans="1:18" x14ac:dyDescent="0.35">
      <c r="A477" t="s">
        <v>506</v>
      </c>
      <c r="B477" t="s">
        <v>37</v>
      </c>
      <c r="C477" t="s">
        <v>29</v>
      </c>
      <c r="D477" t="s">
        <v>1912</v>
      </c>
      <c r="E477" s="3">
        <v>35</v>
      </c>
      <c r="F477" t="s">
        <v>1821</v>
      </c>
      <c r="G477" t="s">
        <v>1816</v>
      </c>
      <c r="H477" t="s">
        <v>11</v>
      </c>
      <c r="I477" s="1" t="s">
        <v>1476</v>
      </c>
      <c r="J477" s="7">
        <v>1</v>
      </c>
      <c r="K477" s="7">
        <v>2024</v>
      </c>
      <c r="L477" s="3">
        <v>98752.97</v>
      </c>
      <c r="M477" s="9" t="s">
        <v>1960</v>
      </c>
      <c r="N477" s="2" t="s">
        <v>1847</v>
      </c>
      <c r="O477" s="3">
        <v>2290310286</v>
      </c>
      <c r="P477" t="s">
        <v>15</v>
      </c>
      <c r="Q477">
        <v>4</v>
      </c>
      <c r="R477" t="s">
        <v>1963</v>
      </c>
    </row>
    <row r="478" spans="1:18" x14ac:dyDescent="0.35">
      <c r="A478" t="s">
        <v>507</v>
      </c>
      <c r="B478" t="s">
        <v>25</v>
      </c>
      <c r="C478" t="s">
        <v>62</v>
      </c>
      <c r="D478" t="s">
        <v>1922</v>
      </c>
      <c r="E478" s="3">
        <v>30</v>
      </c>
      <c r="F478" t="s">
        <v>1815</v>
      </c>
      <c r="G478" t="s">
        <v>1824</v>
      </c>
      <c r="H478" t="s">
        <v>11</v>
      </c>
      <c r="I478" s="1" t="s">
        <v>1477</v>
      </c>
      <c r="J478" s="7">
        <v>2</v>
      </c>
      <c r="K478" s="7">
        <v>2023</v>
      </c>
      <c r="L478" s="3">
        <v>54268.86</v>
      </c>
      <c r="M478" s="9" t="s">
        <v>1958</v>
      </c>
      <c r="N478" s="2" t="s">
        <v>1857</v>
      </c>
      <c r="O478" s="3">
        <v>9508304404</v>
      </c>
      <c r="P478" t="s">
        <v>27</v>
      </c>
      <c r="Q478">
        <v>1</v>
      </c>
      <c r="R478" t="s">
        <v>1962</v>
      </c>
    </row>
    <row r="479" spans="1:18" x14ac:dyDescent="0.35">
      <c r="A479" t="s">
        <v>508</v>
      </c>
      <c r="B479" t="s">
        <v>42</v>
      </c>
      <c r="C479" t="s">
        <v>29</v>
      </c>
      <c r="D479" t="s">
        <v>1908</v>
      </c>
      <c r="E479" s="3">
        <v>30</v>
      </c>
      <c r="F479" t="s">
        <v>1813</v>
      </c>
      <c r="G479" t="s">
        <v>1820</v>
      </c>
      <c r="H479" t="s">
        <v>19</v>
      </c>
      <c r="I479" s="1" t="s">
        <v>1478</v>
      </c>
      <c r="J479" s="7">
        <v>1</v>
      </c>
      <c r="K479" s="7">
        <v>2024</v>
      </c>
      <c r="L479" s="3">
        <v>66494.94</v>
      </c>
      <c r="M479" s="9" t="s">
        <v>1959</v>
      </c>
      <c r="N479" s="2" t="s">
        <v>1843</v>
      </c>
      <c r="O479" s="3">
        <v>8093511870</v>
      </c>
      <c r="P479" t="s">
        <v>27</v>
      </c>
      <c r="Q479">
        <v>1</v>
      </c>
      <c r="R479" t="s">
        <v>1963</v>
      </c>
    </row>
    <row r="480" spans="1:18" x14ac:dyDescent="0.35">
      <c r="A480" t="s">
        <v>509</v>
      </c>
      <c r="B480" t="s">
        <v>42</v>
      </c>
      <c r="C480" t="s">
        <v>62</v>
      </c>
      <c r="D480" t="s">
        <v>1921</v>
      </c>
      <c r="E480" s="3">
        <v>25</v>
      </c>
      <c r="F480" t="s">
        <v>1821</v>
      </c>
      <c r="G480" t="s">
        <v>1824</v>
      </c>
      <c r="H480" t="s">
        <v>19</v>
      </c>
      <c r="I480" s="1" t="s">
        <v>1479</v>
      </c>
      <c r="J480" s="7">
        <v>1</v>
      </c>
      <c r="K480" s="7">
        <v>2024</v>
      </c>
      <c r="L480" s="3">
        <v>90003.98</v>
      </c>
      <c r="M480" s="9" t="s">
        <v>1960</v>
      </c>
      <c r="N480" s="2" t="s">
        <v>1856</v>
      </c>
      <c r="O480" s="3">
        <v>8133595615</v>
      </c>
      <c r="P480" t="s">
        <v>12</v>
      </c>
      <c r="Q480">
        <v>2</v>
      </c>
      <c r="R480" t="s">
        <v>1963</v>
      </c>
    </row>
    <row r="481" spans="1:18" x14ac:dyDescent="0.35">
      <c r="A481" t="s">
        <v>510</v>
      </c>
      <c r="B481" t="s">
        <v>34</v>
      </c>
      <c r="C481" t="s">
        <v>14</v>
      </c>
      <c r="D481" t="s">
        <v>1918</v>
      </c>
      <c r="E481" s="3">
        <v>25</v>
      </c>
      <c r="F481" t="s">
        <v>1815</v>
      </c>
      <c r="G481" t="s">
        <v>1822</v>
      </c>
      <c r="H481" t="s">
        <v>11</v>
      </c>
      <c r="I481" s="1" t="s">
        <v>1073</v>
      </c>
      <c r="J481" s="7">
        <v>4</v>
      </c>
      <c r="K481" s="7">
        <v>2021</v>
      </c>
      <c r="L481" s="3">
        <v>106592.25</v>
      </c>
      <c r="M481" s="9" t="s">
        <v>1960</v>
      </c>
      <c r="N481" s="2" t="s">
        <v>1853</v>
      </c>
      <c r="O481" s="3">
        <v>4205955656</v>
      </c>
      <c r="P481" t="s">
        <v>12</v>
      </c>
      <c r="Q481">
        <v>2</v>
      </c>
      <c r="R481" t="s">
        <v>1962</v>
      </c>
    </row>
    <row r="482" spans="1:18" x14ac:dyDescent="0.35">
      <c r="A482" t="s">
        <v>511</v>
      </c>
      <c r="B482" t="s">
        <v>42</v>
      </c>
      <c r="C482" t="s">
        <v>14</v>
      </c>
      <c r="D482" t="s">
        <v>1936</v>
      </c>
      <c r="E482" s="3">
        <v>25</v>
      </c>
      <c r="F482" t="s">
        <v>1813</v>
      </c>
      <c r="G482" t="s">
        <v>1820</v>
      </c>
      <c r="H482" t="s">
        <v>11</v>
      </c>
      <c r="I482" s="1" t="s">
        <v>1480</v>
      </c>
      <c r="J482" s="7">
        <v>1</v>
      </c>
      <c r="K482" s="7">
        <v>2024</v>
      </c>
      <c r="L482" s="3">
        <v>93905.83</v>
      </c>
      <c r="M482" s="9" t="s">
        <v>1960</v>
      </c>
      <c r="N482" s="2" t="s">
        <v>1871</v>
      </c>
      <c r="O482" s="3">
        <v>4902504289</v>
      </c>
      <c r="P482" t="s">
        <v>12</v>
      </c>
      <c r="Q482">
        <v>2</v>
      </c>
      <c r="R482" t="s">
        <v>1962</v>
      </c>
    </row>
    <row r="483" spans="1:18" x14ac:dyDescent="0.35">
      <c r="A483" t="s">
        <v>512</v>
      </c>
      <c r="B483" t="s">
        <v>22</v>
      </c>
      <c r="C483" t="s">
        <v>50</v>
      </c>
      <c r="D483" t="s">
        <v>1943</v>
      </c>
      <c r="E483" s="3">
        <v>35</v>
      </c>
      <c r="F483" t="s">
        <v>1813</v>
      </c>
      <c r="G483" t="s">
        <v>1816</v>
      </c>
      <c r="H483" t="s">
        <v>11</v>
      </c>
      <c r="I483" s="1" t="s">
        <v>1377</v>
      </c>
      <c r="J483" s="7">
        <v>3</v>
      </c>
      <c r="K483" s="7">
        <v>2022</v>
      </c>
      <c r="L483" s="3">
        <v>88945.49</v>
      </c>
      <c r="M483" s="9" t="s">
        <v>1960</v>
      </c>
      <c r="N483" s="2" t="s">
        <v>1878</v>
      </c>
      <c r="O483" s="3">
        <v>1935889535</v>
      </c>
      <c r="P483" t="s">
        <v>20</v>
      </c>
      <c r="Q483">
        <v>3</v>
      </c>
      <c r="R483" t="s">
        <v>1963</v>
      </c>
    </row>
    <row r="484" spans="1:18" x14ac:dyDescent="0.35">
      <c r="A484" t="s">
        <v>513</v>
      </c>
      <c r="B484" t="s">
        <v>22</v>
      </c>
      <c r="C484" t="s">
        <v>18</v>
      </c>
      <c r="D484" t="s">
        <v>1945</v>
      </c>
      <c r="E484" s="3">
        <v>30</v>
      </c>
      <c r="F484" t="s">
        <v>1815</v>
      </c>
      <c r="G484" t="s">
        <v>1816</v>
      </c>
      <c r="H484" t="s">
        <v>19</v>
      </c>
      <c r="I484" s="1" t="s">
        <v>1179</v>
      </c>
      <c r="J484" s="7">
        <v>2</v>
      </c>
      <c r="K484" s="7">
        <v>2023</v>
      </c>
      <c r="L484" s="3">
        <v>91130.33</v>
      </c>
      <c r="M484" s="9" t="s">
        <v>1960</v>
      </c>
      <c r="N484" s="2" t="s">
        <v>1880</v>
      </c>
      <c r="O484" s="3">
        <v>9026113988</v>
      </c>
      <c r="P484" t="s">
        <v>20</v>
      </c>
      <c r="Q484">
        <v>3</v>
      </c>
      <c r="R484" t="s">
        <v>1963</v>
      </c>
    </row>
    <row r="485" spans="1:18" x14ac:dyDescent="0.35">
      <c r="A485" t="s">
        <v>514</v>
      </c>
      <c r="B485" t="s">
        <v>9</v>
      </c>
      <c r="C485" t="s">
        <v>50</v>
      </c>
      <c r="D485" t="s">
        <v>1911</v>
      </c>
      <c r="E485" s="3">
        <v>40</v>
      </c>
      <c r="F485" t="s">
        <v>1817</v>
      </c>
      <c r="G485" t="s">
        <v>1822</v>
      </c>
      <c r="H485" t="s">
        <v>19</v>
      </c>
      <c r="I485" s="1" t="s">
        <v>1481</v>
      </c>
      <c r="J485" s="7">
        <v>2</v>
      </c>
      <c r="K485" s="7">
        <v>2023</v>
      </c>
      <c r="L485" s="3">
        <v>90787.4</v>
      </c>
      <c r="M485" s="9" t="s">
        <v>1960</v>
      </c>
      <c r="N485" s="2" t="s">
        <v>1846</v>
      </c>
      <c r="O485" s="3">
        <v>8681809787</v>
      </c>
      <c r="P485" t="s">
        <v>12</v>
      </c>
      <c r="Q485">
        <v>2</v>
      </c>
      <c r="R485" t="s">
        <v>1963</v>
      </c>
    </row>
    <row r="486" spans="1:18" x14ac:dyDescent="0.35">
      <c r="A486" t="s">
        <v>515</v>
      </c>
      <c r="B486" t="s">
        <v>9</v>
      </c>
      <c r="C486" t="s">
        <v>18</v>
      </c>
      <c r="D486" t="s">
        <v>1899</v>
      </c>
      <c r="E486" s="3">
        <v>25</v>
      </c>
      <c r="F486" t="s">
        <v>1821</v>
      </c>
      <c r="G486" t="s">
        <v>1816</v>
      </c>
      <c r="H486" t="s">
        <v>23</v>
      </c>
      <c r="I486" s="1" t="s">
        <v>1482</v>
      </c>
      <c r="J486" s="7">
        <v>1</v>
      </c>
      <c r="K486" s="7">
        <v>2024</v>
      </c>
      <c r="L486" s="3">
        <v>87494.34</v>
      </c>
      <c r="M486" s="9" t="s">
        <v>1960</v>
      </c>
      <c r="N486" s="2" t="s">
        <v>1834</v>
      </c>
      <c r="O486" s="3">
        <v>7543943534</v>
      </c>
      <c r="P486" t="s">
        <v>12</v>
      </c>
      <c r="Q486">
        <v>2</v>
      </c>
      <c r="R486" t="s">
        <v>1962</v>
      </c>
    </row>
    <row r="487" spans="1:18" x14ac:dyDescent="0.35">
      <c r="A487" t="s">
        <v>516</v>
      </c>
      <c r="B487" t="s">
        <v>42</v>
      </c>
      <c r="C487" t="s">
        <v>50</v>
      </c>
      <c r="D487" t="s">
        <v>1930</v>
      </c>
      <c r="E487" s="3">
        <v>35</v>
      </c>
      <c r="F487" t="s">
        <v>1815</v>
      </c>
      <c r="G487" t="s">
        <v>1818</v>
      </c>
      <c r="H487" t="s">
        <v>23</v>
      </c>
      <c r="I487" s="1" t="s">
        <v>1483</v>
      </c>
      <c r="J487" s="7">
        <v>2</v>
      </c>
      <c r="K487" s="7">
        <v>2023</v>
      </c>
      <c r="L487" s="3">
        <v>92627.35</v>
      </c>
      <c r="M487" s="9" t="s">
        <v>1960</v>
      </c>
      <c r="N487" s="2" t="s">
        <v>1865</v>
      </c>
      <c r="O487" s="3">
        <v>3751376514</v>
      </c>
      <c r="P487" t="s">
        <v>12</v>
      </c>
      <c r="Q487">
        <v>2</v>
      </c>
      <c r="R487" t="s">
        <v>1963</v>
      </c>
    </row>
    <row r="488" spans="1:18" x14ac:dyDescent="0.35">
      <c r="A488" t="s">
        <v>517</v>
      </c>
      <c r="B488" t="s">
        <v>22</v>
      </c>
      <c r="C488" t="s">
        <v>26</v>
      </c>
      <c r="D488" t="s">
        <v>1923</v>
      </c>
      <c r="E488" s="3">
        <v>40</v>
      </c>
      <c r="F488" t="s">
        <v>1817</v>
      </c>
      <c r="G488" t="s">
        <v>1824</v>
      </c>
      <c r="H488" t="s">
        <v>19</v>
      </c>
      <c r="I488" s="1" t="s">
        <v>1234</v>
      </c>
      <c r="J488" s="7">
        <v>2</v>
      </c>
      <c r="K488" s="7">
        <v>2023</v>
      </c>
      <c r="L488" s="3">
        <v>98556.29</v>
      </c>
      <c r="M488" s="9" t="s">
        <v>1960</v>
      </c>
      <c r="N488" s="2" t="s">
        <v>1858</v>
      </c>
      <c r="O488" s="3">
        <v>8815793762</v>
      </c>
      <c r="P488" t="s">
        <v>27</v>
      </c>
      <c r="Q488">
        <v>1</v>
      </c>
      <c r="R488" t="s">
        <v>1962</v>
      </c>
    </row>
    <row r="489" spans="1:18" x14ac:dyDescent="0.35">
      <c r="A489" t="s">
        <v>518</v>
      </c>
      <c r="B489" t="s">
        <v>25</v>
      </c>
      <c r="C489" t="s">
        <v>14</v>
      </c>
      <c r="D489" t="s">
        <v>1940</v>
      </c>
      <c r="E489" s="3">
        <v>30</v>
      </c>
      <c r="F489" t="s">
        <v>1819</v>
      </c>
      <c r="G489" t="s">
        <v>1818</v>
      </c>
      <c r="H489" t="s">
        <v>23</v>
      </c>
      <c r="I489" s="1" t="s">
        <v>1484</v>
      </c>
      <c r="J489" s="7">
        <v>4</v>
      </c>
      <c r="K489" s="7">
        <v>2021</v>
      </c>
      <c r="L489" s="3">
        <v>112792.2</v>
      </c>
      <c r="M489" s="9" t="s">
        <v>1960</v>
      </c>
      <c r="N489" s="2" t="s">
        <v>1875</v>
      </c>
      <c r="O489" s="3">
        <v>9283692943</v>
      </c>
      <c r="P489" t="s">
        <v>20</v>
      </c>
      <c r="Q489">
        <v>3</v>
      </c>
      <c r="R489" t="s">
        <v>1962</v>
      </c>
    </row>
    <row r="490" spans="1:18" x14ac:dyDescent="0.35">
      <c r="A490" t="s">
        <v>519</v>
      </c>
      <c r="B490" t="s">
        <v>22</v>
      </c>
      <c r="C490" t="s">
        <v>62</v>
      </c>
      <c r="D490" t="s">
        <v>1955</v>
      </c>
      <c r="E490" s="3">
        <v>35</v>
      </c>
      <c r="F490" t="s">
        <v>1823</v>
      </c>
      <c r="G490" t="s">
        <v>1820</v>
      </c>
      <c r="H490" t="s">
        <v>19</v>
      </c>
      <c r="I490" s="1" t="s">
        <v>1485</v>
      </c>
      <c r="J490" s="7">
        <v>2</v>
      </c>
      <c r="K490" s="7">
        <v>2023</v>
      </c>
      <c r="L490" s="3">
        <v>56875.22</v>
      </c>
      <c r="M490" s="9" t="s">
        <v>1958</v>
      </c>
      <c r="N490" s="2" t="s">
        <v>1890</v>
      </c>
      <c r="O490" s="3">
        <v>5511668296</v>
      </c>
      <c r="P490" t="s">
        <v>27</v>
      </c>
      <c r="Q490">
        <v>1</v>
      </c>
      <c r="R490" t="s">
        <v>1963</v>
      </c>
    </row>
    <row r="491" spans="1:18" x14ac:dyDescent="0.35">
      <c r="A491" t="s">
        <v>520</v>
      </c>
      <c r="B491" t="s">
        <v>34</v>
      </c>
      <c r="C491" t="s">
        <v>18</v>
      </c>
      <c r="D491" t="s">
        <v>1916</v>
      </c>
      <c r="E491" s="3">
        <v>35</v>
      </c>
      <c r="F491" t="s">
        <v>1813</v>
      </c>
      <c r="G491" t="s">
        <v>1820</v>
      </c>
      <c r="H491" t="s">
        <v>23</v>
      </c>
      <c r="I491" s="1" t="s">
        <v>1486</v>
      </c>
      <c r="J491" s="7">
        <v>4</v>
      </c>
      <c r="K491" s="7">
        <v>2021</v>
      </c>
      <c r="L491" s="3">
        <v>101015.96</v>
      </c>
      <c r="M491" s="9" t="s">
        <v>1960</v>
      </c>
      <c r="N491" s="2" t="s">
        <v>1851</v>
      </c>
      <c r="O491" s="3">
        <v>3270216486</v>
      </c>
      <c r="P491" t="s">
        <v>27</v>
      </c>
      <c r="Q491">
        <v>1</v>
      </c>
      <c r="R491" t="s">
        <v>1962</v>
      </c>
    </row>
    <row r="492" spans="1:18" x14ac:dyDescent="0.35">
      <c r="A492" t="s">
        <v>521</v>
      </c>
      <c r="B492" t="s">
        <v>9</v>
      </c>
      <c r="C492" t="s">
        <v>29</v>
      </c>
      <c r="D492" t="s">
        <v>1926</v>
      </c>
      <c r="E492" s="3">
        <v>30</v>
      </c>
      <c r="F492" t="s">
        <v>1815</v>
      </c>
      <c r="G492" t="s">
        <v>1822</v>
      </c>
      <c r="H492" t="s">
        <v>23</v>
      </c>
      <c r="I492" s="1" t="s">
        <v>1487</v>
      </c>
      <c r="J492" s="7">
        <v>1</v>
      </c>
      <c r="K492" s="7">
        <v>2024</v>
      </c>
      <c r="L492" s="3">
        <v>83912.22</v>
      </c>
      <c r="M492" s="9" t="s">
        <v>1959</v>
      </c>
      <c r="N492" s="2" t="s">
        <v>1861</v>
      </c>
      <c r="O492" s="3">
        <v>1206021287</v>
      </c>
      <c r="P492" t="s">
        <v>12</v>
      </c>
      <c r="Q492">
        <v>2</v>
      </c>
      <c r="R492" t="s">
        <v>1963</v>
      </c>
    </row>
    <row r="493" spans="1:18" x14ac:dyDescent="0.35">
      <c r="A493" t="s">
        <v>522</v>
      </c>
      <c r="B493" t="s">
        <v>25</v>
      </c>
      <c r="C493" t="s">
        <v>18</v>
      </c>
      <c r="D493" t="s">
        <v>1898</v>
      </c>
      <c r="E493" s="3">
        <v>25</v>
      </c>
      <c r="F493" t="s">
        <v>1821</v>
      </c>
      <c r="G493" t="s">
        <v>1822</v>
      </c>
      <c r="H493" t="s">
        <v>11</v>
      </c>
      <c r="I493" s="1" t="s">
        <v>1488</v>
      </c>
      <c r="J493" s="7">
        <v>4</v>
      </c>
      <c r="K493" s="7">
        <v>2021</v>
      </c>
      <c r="L493" s="3">
        <v>99669.86</v>
      </c>
      <c r="M493" s="9" t="s">
        <v>1960</v>
      </c>
      <c r="N493" s="2" t="s">
        <v>1833</v>
      </c>
      <c r="O493" s="3">
        <v>6652683414</v>
      </c>
      <c r="P493" t="s">
        <v>12</v>
      </c>
      <c r="Q493">
        <v>2</v>
      </c>
      <c r="R493" t="s">
        <v>1963</v>
      </c>
    </row>
    <row r="494" spans="1:18" x14ac:dyDescent="0.35">
      <c r="A494" t="s">
        <v>523</v>
      </c>
      <c r="B494" t="s">
        <v>17</v>
      </c>
      <c r="C494" t="s">
        <v>62</v>
      </c>
      <c r="D494" t="s">
        <v>1933</v>
      </c>
      <c r="E494" s="3">
        <v>30</v>
      </c>
      <c r="F494" t="s">
        <v>1817</v>
      </c>
      <c r="G494" t="s">
        <v>1822</v>
      </c>
      <c r="H494" t="s">
        <v>11</v>
      </c>
      <c r="I494" s="1" t="s">
        <v>1489</v>
      </c>
      <c r="J494" s="7">
        <v>4</v>
      </c>
      <c r="K494" s="7">
        <v>2021</v>
      </c>
      <c r="L494" s="3">
        <v>52314.97</v>
      </c>
      <c r="M494" s="9" t="s">
        <v>1958</v>
      </c>
      <c r="N494" s="2" t="s">
        <v>1868</v>
      </c>
      <c r="O494" s="3">
        <v>5999101575</v>
      </c>
      <c r="P494" t="s">
        <v>15</v>
      </c>
      <c r="Q494">
        <v>4</v>
      </c>
      <c r="R494" t="s">
        <v>1963</v>
      </c>
    </row>
    <row r="495" spans="1:18" x14ac:dyDescent="0.35">
      <c r="A495" t="s">
        <v>524</v>
      </c>
      <c r="B495" t="s">
        <v>25</v>
      </c>
      <c r="C495" t="s">
        <v>50</v>
      </c>
      <c r="D495" t="s">
        <v>1914</v>
      </c>
      <c r="E495" s="3">
        <v>30</v>
      </c>
      <c r="F495" t="s">
        <v>1823</v>
      </c>
      <c r="G495" t="s">
        <v>1814</v>
      </c>
      <c r="H495" t="s">
        <v>23</v>
      </c>
      <c r="I495" s="1" t="s">
        <v>1490</v>
      </c>
      <c r="J495" s="7">
        <v>3</v>
      </c>
      <c r="K495" s="7">
        <v>2022</v>
      </c>
      <c r="L495" s="3">
        <v>77785.960000000006</v>
      </c>
      <c r="M495" s="9" t="s">
        <v>1959</v>
      </c>
      <c r="N495" s="2" t="s">
        <v>1849</v>
      </c>
      <c r="O495" s="3">
        <v>7647229811</v>
      </c>
      <c r="P495" t="s">
        <v>15</v>
      </c>
      <c r="Q495">
        <v>4</v>
      </c>
      <c r="R495" t="s">
        <v>1963</v>
      </c>
    </row>
    <row r="496" spans="1:18" x14ac:dyDescent="0.35">
      <c r="A496" t="s">
        <v>525</v>
      </c>
      <c r="B496" t="s">
        <v>17</v>
      </c>
      <c r="C496" t="s">
        <v>18</v>
      </c>
      <c r="D496" t="s">
        <v>1894</v>
      </c>
      <c r="E496" s="3">
        <v>30</v>
      </c>
      <c r="F496" t="s">
        <v>1823</v>
      </c>
      <c r="G496" t="s">
        <v>1820</v>
      </c>
      <c r="H496" t="s">
        <v>19</v>
      </c>
      <c r="I496" s="1" t="s">
        <v>1491</v>
      </c>
      <c r="J496" s="7">
        <v>3</v>
      </c>
      <c r="K496" s="7">
        <v>2022</v>
      </c>
      <c r="L496" s="3">
        <v>62430.86</v>
      </c>
      <c r="M496" s="9" t="s">
        <v>1959</v>
      </c>
      <c r="N496" s="2" t="s">
        <v>1829</v>
      </c>
      <c r="O496" s="3">
        <v>995765727</v>
      </c>
      <c r="P496" t="s">
        <v>27</v>
      </c>
      <c r="Q496">
        <v>1</v>
      </c>
      <c r="R496" t="s">
        <v>1963</v>
      </c>
    </row>
    <row r="497" spans="1:18" x14ac:dyDescent="0.35">
      <c r="A497" t="s">
        <v>526</v>
      </c>
      <c r="B497" t="s">
        <v>25</v>
      </c>
      <c r="C497" t="s">
        <v>10</v>
      </c>
      <c r="D497" t="s">
        <v>1900</v>
      </c>
      <c r="E497" s="3">
        <v>35</v>
      </c>
      <c r="F497" t="s">
        <v>1817</v>
      </c>
      <c r="G497" t="s">
        <v>1814</v>
      </c>
      <c r="H497" t="s">
        <v>19</v>
      </c>
      <c r="I497" s="1" t="s">
        <v>1117</v>
      </c>
      <c r="J497" s="7">
        <v>1</v>
      </c>
      <c r="K497" s="7">
        <v>2024</v>
      </c>
      <c r="L497" s="3">
        <v>98219.54</v>
      </c>
      <c r="M497" s="9" t="s">
        <v>1960</v>
      </c>
      <c r="N497" s="2" t="s">
        <v>1835</v>
      </c>
      <c r="O497" s="3">
        <v>9413475097</v>
      </c>
      <c r="P497" t="s">
        <v>20</v>
      </c>
      <c r="Q497">
        <v>3</v>
      </c>
      <c r="R497" t="s">
        <v>1962</v>
      </c>
    </row>
    <row r="498" spans="1:18" x14ac:dyDescent="0.35">
      <c r="A498" t="s">
        <v>527</v>
      </c>
      <c r="B498" t="s">
        <v>42</v>
      </c>
      <c r="C498" t="s">
        <v>26</v>
      </c>
      <c r="D498" t="s">
        <v>1905</v>
      </c>
      <c r="E498" s="3">
        <v>25</v>
      </c>
      <c r="F498" t="s">
        <v>1817</v>
      </c>
      <c r="G498" t="s">
        <v>1824</v>
      </c>
      <c r="H498" t="s">
        <v>11</v>
      </c>
      <c r="I498" s="1" t="s">
        <v>1492</v>
      </c>
      <c r="J498" s="7">
        <v>1</v>
      </c>
      <c r="K498" s="7">
        <v>2024</v>
      </c>
      <c r="L498" s="3">
        <v>65494.58</v>
      </c>
      <c r="M498" s="9" t="s">
        <v>1959</v>
      </c>
      <c r="N498" s="2" t="s">
        <v>1840</v>
      </c>
      <c r="O498" s="3">
        <v>8986456521</v>
      </c>
      <c r="P498" t="s">
        <v>12</v>
      </c>
      <c r="Q498">
        <v>2</v>
      </c>
      <c r="R498" t="s">
        <v>1962</v>
      </c>
    </row>
    <row r="499" spans="1:18" x14ac:dyDescent="0.35">
      <c r="A499" t="s">
        <v>528</v>
      </c>
      <c r="B499" t="s">
        <v>37</v>
      </c>
      <c r="C499" t="s">
        <v>14</v>
      </c>
      <c r="D499" t="s">
        <v>1938</v>
      </c>
      <c r="E499" s="3">
        <v>35</v>
      </c>
      <c r="F499" t="s">
        <v>1813</v>
      </c>
      <c r="G499" t="s">
        <v>1820</v>
      </c>
      <c r="H499" t="s">
        <v>19</v>
      </c>
      <c r="I499" s="1" t="s">
        <v>1493</v>
      </c>
      <c r="J499" s="7">
        <v>5</v>
      </c>
      <c r="K499" s="7">
        <v>2020</v>
      </c>
      <c r="L499" s="3">
        <v>110524.1</v>
      </c>
      <c r="M499" s="9" t="s">
        <v>1960</v>
      </c>
      <c r="N499" s="2" t="s">
        <v>1873</v>
      </c>
      <c r="O499" s="3">
        <v>368499514</v>
      </c>
      <c r="P499" t="s">
        <v>12</v>
      </c>
      <c r="Q499">
        <v>2</v>
      </c>
      <c r="R499" t="s">
        <v>1963</v>
      </c>
    </row>
    <row r="500" spans="1:18" x14ac:dyDescent="0.35">
      <c r="A500" t="s">
        <v>529</v>
      </c>
      <c r="B500" t="s">
        <v>17</v>
      </c>
      <c r="C500" t="s">
        <v>62</v>
      </c>
      <c r="D500" t="s">
        <v>1933</v>
      </c>
      <c r="E500" s="3">
        <v>40</v>
      </c>
      <c r="F500" t="s">
        <v>1817</v>
      </c>
      <c r="G500" t="s">
        <v>1818</v>
      </c>
      <c r="H500" t="s">
        <v>11</v>
      </c>
      <c r="I500" s="1" t="s">
        <v>1494</v>
      </c>
      <c r="J500" s="7">
        <v>2</v>
      </c>
      <c r="K500" s="7">
        <v>2023</v>
      </c>
      <c r="L500" s="3">
        <v>106060.54</v>
      </c>
      <c r="M500" s="9" t="s">
        <v>1960</v>
      </c>
      <c r="N500" s="2" t="s">
        <v>1868</v>
      </c>
      <c r="O500" s="3">
        <v>4214477323</v>
      </c>
      <c r="P500" t="s">
        <v>27</v>
      </c>
      <c r="Q500">
        <v>1</v>
      </c>
      <c r="R500" t="s">
        <v>1963</v>
      </c>
    </row>
    <row r="501" spans="1:18" x14ac:dyDescent="0.35">
      <c r="A501" t="s">
        <v>530</v>
      </c>
      <c r="B501" t="s">
        <v>22</v>
      </c>
      <c r="C501" t="s">
        <v>14</v>
      </c>
      <c r="D501" t="s">
        <v>1927</v>
      </c>
      <c r="E501" s="3">
        <v>35</v>
      </c>
      <c r="F501" t="s">
        <v>1815</v>
      </c>
      <c r="G501" t="s">
        <v>1820</v>
      </c>
      <c r="H501" t="s">
        <v>23</v>
      </c>
      <c r="I501" s="1" t="s">
        <v>1495</v>
      </c>
      <c r="J501" s="7">
        <v>3</v>
      </c>
      <c r="K501" s="7">
        <v>2022</v>
      </c>
      <c r="L501" s="3">
        <v>67639.91</v>
      </c>
      <c r="M501" s="9" t="s">
        <v>1959</v>
      </c>
      <c r="N501" s="2" t="s">
        <v>1862</v>
      </c>
      <c r="O501" s="3">
        <v>4913421387</v>
      </c>
      <c r="P501" t="s">
        <v>15</v>
      </c>
      <c r="Q501">
        <v>4</v>
      </c>
      <c r="R501" t="s">
        <v>1962</v>
      </c>
    </row>
    <row r="502" spans="1:18" x14ac:dyDescent="0.35">
      <c r="A502" t="s">
        <v>531</v>
      </c>
      <c r="B502" t="s">
        <v>42</v>
      </c>
      <c r="C502" t="s">
        <v>10</v>
      </c>
      <c r="D502" t="s">
        <v>1939</v>
      </c>
      <c r="E502" s="3">
        <v>30</v>
      </c>
      <c r="F502" t="s">
        <v>1819</v>
      </c>
      <c r="G502" t="s">
        <v>1816</v>
      </c>
      <c r="H502" t="s">
        <v>19</v>
      </c>
      <c r="I502" s="1" t="s">
        <v>1496</v>
      </c>
      <c r="J502" s="7">
        <v>2</v>
      </c>
      <c r="K502" s="7">
        <v>2023</v>
      </c>
      <c r="L502" s="3">
        <v>117653.98</v>
      </c>
      <c r="M502" s="9" t="s">
        <v>1960</v>
      </c>
      <c r="N502" s="2" t="s">
        <v>1874</v>
      </c>
      <c r="O502" s="3">
        <v>2090883069</v>
      </c>
      <c r="P502" t="s">
        <v>20</v>
      </c>
      <c r="Q502">
        <v>3</v>
      </c>
      <c r="R502" t="s">
        <v>1962</v>
      </c>
    </row>
    <row r="503" spans="1:18" x14ac:dyDescent="0.35">
      <c r="A503" t="s">
        <v>532</v>
      </c>
      <c r="B503" t="s">
        <v>22</v>
      </c>
      <c r="C503" t="s">
        <v>18</v>
      </c>
      <c r="D503" t="s">
        <v>1945</v>
      </c>
      <c r="E503" s="3">
        <v>35</v>
      </c>
      <c r="F503" t="s">
        <v>1813</v>
      </c>
      <c r="G503" t="s">
        <v>1816</v>
      </c>
      <c r="H503" t="s">
        <v>23</v>
      </c>
      <c r="I503" s="1" t="s">
        <v>1497</v>
      </c>
      <c r="J503" s="7">
        <v>5</v>
      </c>
      <c r="K503" s="7">
        <v>2020</v>
      </c>
      <c r="L503" s="3">
        <v>73539.86</v>
      </c>
      <c r="M503" s="9" t="s">
        <v>1959</v>
      </c>
      <c r="N503" s="2" t="s">
        <v>1880</v>
      </c>
      <c r="O503" s="3">
        <v>5349678273</v>
      </c>
      <c r="P503" t="s">
        <v>15</v>
      </c>
      <c r="Q503">
        <v>4</v>
      </c>
      <c r="R503" t="s">
        <v>1962</v>
      </c>
    </row>
    <row r="504" spans="1:18" x14ac:dyDescent="0.35">
      <c r="A504" t="s">
        <v>533</v>
      </c>
      <c r="B504" t="s">
        <v>25</v>
      </c>
      <c r="C504" t="s">
        <v>18</v>
      </c>
      <c r="D504" t="s">
        <v>1898</v>
      </c>
      <c r="E504" s="3">
        <v>35</v>
      </c>
      <c r="F504" t="s">
        <v>1823</v>
      </c>
      <c r="G504" t="s">
        <v>1818</v>
      </c>
      <c r="H504" t="s">
        <v>19</v>
      </c>
      <c r="I504" s="1" t="s">
        <v>1498</v>
      </c>
      <c r="J504" s="7">
        <v>2</v>
      </c>
      <c r="K504" s="7">
        <v>2023</v>
      </c>
      <c r="L504" s="3">
        <v>70915.38</v>
      </c>
      <c r="M504" s="9" t="s">
        <v>1959</v>
      </c>
      <c r="N504" s="2" t="s">
        <v>1833</v>
      </c>
      <c r="O504" s="3">
        <v>1176741240</v>
      </c>
      <c r="P504" t="s">
        <v>15</v>
      </c>
      <c r="Q504">
        <v>4</v>
      </c>
      <c r="R504" t="s">
        <v>1962</v>
      </c>
    </row>
    <row r="505" spans="1:18" x14ac:dyDescent="0.35">
      <c r="A505" t="s">
        <v>534</v>
      </c>
      <c r="B505" t="s">
        <v>37</v>
      </c>
      <c r="C505" t="s">
        <v>29</v>
      </c>
      <c r="D505" t="s">
        <v>1912</v>
      </c>
      <c r="E505" s="3">
        <v>25</v>
      </c>
      <c r="F505" t="s">
        <v>1821</v>
      </c>
      <c r="G505" t="s">
        <v>1820</v>
      </c>
      <c r="H505" t="s">
        <v>19</v>
      </c>
      <c r="I505" s="1" t="s">
        <v>1499</v>
      </c>
      <c r="J505" s="7">
        <v>4</v>
      </c>
      <c r="K505" s="7">
        <v>2021</v>
      </c>
      <c r="L505" s="3">
        <v>97652.9</v>
      </c>
      <c r="M505" s="9" t="s">
        <v>1960</v>
      </c>
      <c r="N505" s="2" t="s">
        <v>1847</v>
      </c>
      <c r="O505" s="3">
        <v>5131528546</v>
      </c>
      <c r="P505" t="s">
        <v>15</v>
      </c>
      <c r="Q505">
        <v>4</v>
      </c>
      <c r="R505" t="s">
        <v>1963</v>
      </c>
    </row>
    <row r="506" spans="1:18" x14ac:dyDescent="0.35">
      <c r="A506" t="s">
        <v>535</v>
      </c>
      <c r="B506" t="s">
        <v>40</v>
      </c>
      <c r="C506" t="s">
        <v>10</v>
      </c>
      <c r="D506" t="s">
        <v>1952</v>
      </c>
      <c r="E506" s="3">
        <v>35</v>
      </c>
      <c r="F506" t="s">
        <v>1823</v>
      </c>
      <c r="G506" t="s">
        <v>1820</v>
      </c>
      <c r="H506" t="s">
        <v>23</v>
      </c>
      <c r="I506" s="1" t="s">
        <v>1500</v>
      </c>
      <c r="J506" s="7">
        <v>3</v>
      </c>
      <c r="K506" s="7">
        <v>2022</v>
      </c>
      <c r="L506" s="3">
        <v>101571.25</v>
      </c>
      <c r="M506" s="9" t="s">
        <v>1960</v>
      </c>
      <c r="N506" s="2" t="s">
        <v>1887</v>
      </c>
      <c r="O506" s="3">
        <v>8150618537</v>
      </c>
      <c r="P506" t="s">
        <v>15</v>
      </c>
      <c r="Q506">
        <v>4</v>
      </c>
      <c r="R506" t="s">
        <v>1963</v>
      </c>
    </row>
    <row r="507" spans="1:18" x14ac:dyDescent="0.35">
      <c r="A507" t="s">
        <v>536</v>
      </c>
      <c r="B507" t="s">
        <v>37</v>
      </c>
      <c r="C507" t="s">
        <v>62</v>
      </c>
      <c r="D507" t="s">
        <v>1949</v>
      </c>
      <c r="E507" s="3">
        <v>35</v>
      </c>
      <c r="F507" t="s">
        <v>1813</v>
      </c>
      <c r="G507" t="s">
        <v>1818</v>
      </c>
      <c r="H507" t="s">
        <v>11</v>
      </c>
      <c r="I507" s="1" t="s">
        <v>1501</v>
      </c>
      <c r="J507" s="7">
        <v>2</v>
      </c>
      <c r="K507" s="7">
        <v>2023</v>
      </c>
      <c r="L507" s="3">
        <v>87424.46</v>
      </c>
      <c r="M507" s="9" t="s">
        <v>1960</v>
      </c>
      <c r="N507" s="2" t="s">
        <v>1884</v>
      </c>
      <c r="O507" s="3">
        <v>32963346</v>
      </c>
      <c r="P507" t="s">
        <v>12</v>
      </c>
      <c r="Q507">
        <v>2</v>
      </c>
      <c r="R507" t="s">
        <v>1962</v>
      </c>
    </row>
    <row r="508" spans="1:18" x14ac:dyDescent="0.35">
      <c r="A508" t="s">
        <v>537</v>
      </c>
      <c r="B508" t="s">
        <v>25</v>
      </c>
      <c r="C508" t="s">
        <v>29</v>
      </c>
      <c r="D508" t="s">
        <v>1932</v>
      </c>
      <c r="E508" s="3">
        <v>30</v>
      </c>
      <c r="F508" t="s">
        <v>1823</v>
      </c>
      <c r="G508" t="s">
        <v>1822</v>
      </c>
      <c r="H508" t="s">
        <v>19</v>
      </c>
      <c r="I508" s="1" t="s">
        <v>1502</v>
      </c>
      <c r="J508" s="7">
        <v>0</v>
      </c>
      <c r="K508" s="7">
        <v>2024</v>
      </c>
      <c r="L508" s="3">
        <v>89077.36</v>
      </c>
      <c r="M508" s="9" t="s">
        <v>1960</v>
      </c>
      <c r="N508" s="2" t="s">
        <v>1867</v>
      </c>
      <c r="O508" s="3">
        <v>2727423182</v>
      </c>
      <c r="P508" t="s">
        <v>12</v>
      </c>
      <c r="Q508">
        <v>2</v>
      </c>
      <c r="R508" t="s">
        <v>1963</v>
      </c>
    </row>
    <row r="509" spans="1:18" x14ac:dyDescent="0.35">
      <c r="A509" t="s">
        <v>538</v>
      </c>
      <c r="B509" t="s">
        <v>40</v>
      </c>
      <c r="C509" t="s">
        <v>26</v>
      </c>
      <c r="D509" t="s">
        <v>1904</v>
      </c>
      <c r="E509" s="3">
        <v>30</v>
      </c>
      <c r="F509" t="s">
        <v>1813</v>
      </c>
      <c r="G509" t="s">
        <v>1814</v>
      </c>
      <c r="H509" t="s">
        <v>19</v>
      </c>
      <c r="I509" s="1" t="s">
        <v>1503</v>
      </c>
      <c r="J509" s="7">
        <v>1</v>
      </c>
      <c r="K509" s="7">
        <v>2024</v>
      </c>
      <c r="L509" s="3">
        <v>89132.22</v>
      </c>
      <c r="M509" s="9" t="s">
        <v>1960</v>
      </c>
      <c r="N509" s="2" t="s">
        <v>1839</v>
      </c>
      <c r="O509" s="3">
        <v>617893205</v>
      </c>
      <c r="P509" t="s">
        <v>15</v>
      </c>
      <c r="Q509">
        <v>4</v>
      </c>
      <c r="R509" t="s">
        <v>1962</v>
      </c>
    </row>
    <row r="510" spans="1:18" x14ac:dyDescent="0.35">
      <c r="A510" t="s">
        <v>539</v>
      </c>
      <c r="B510" t="s">
        <v>25</v>
      </c>
      <c r="C510" t="s">
        <v>29</v>
      </c>
      <c r="D510" t="s">
        <v>1932</v>
      </c>
      <c r="E510" s="3">
        <v>25</v>
      </c>
      <c r="F510" t="s">
        <v>1817</v>
      </c>
      <c r="G510" t="s">
        <v>1814</v>
      </c>
      <c r="H510" t="s">
        <v>11</v>
      </c>
      <c r="I510" s="1" t="s">
        <v>1504</v>
      </c>
      <c r="J510" s="7">
        <v>1</v>
      </c>
      <c r="K510" s="7">
        <v>2024</v>
      </c>
      <c r="L510" s="3">
        <v>111000.26</v>
      </c>
      <c r="M510" s="9" t="s">
        <v>1960</v>
      </c>
      <c r="N510" s="2" t="s">
        <v>1867</v>
      </c>
      <c r="O510" s="3">
        <v>4969357823</v>
      </c>
      <c r="P510" t="s">
        <v>20</v>
      </c>
      <c r="Q510">
        <v>3</v>
      </c>
      <c r="R510" t="s">
        <v>1963</v>
      </c>
    </row>
    <row r="511" spans="1:18" x14ac:dyDescent="0.35">
      <c r="A511" t="s">
        <v>540</v>
      </c>
      <c r="B511" t="s">
        <v>25</v>
      </c>
      <c r="C511" t="s">
        <v>35</v>
      </c>
      <c r="D511" t="s">
        <v>1944</v>
      </c>
      <c r="E511" s="3">
        <v>35</v>
      </c>
      <c r="F511" t="s">
        <v>1823</v>
      </c>
      <c r="G511" t="s">
        <v>1824</v>
      </c>
      <c r="H511" t="s">
        <v>23</v>
      </c>
      <c r="I511" s="1" t="s">
        <v>1505</v>
      </c>
      <c r="J511" s="7">
        <v>3</v>
      </c>
      <c r="K511" s="7">
        <v>2022</v>
      </c>
      <c r="L511" s="3">
        <v>109584.97</v>
      </c>
      <c r="M511" s="9" t="s">
        <v>1960</v>
      </c>
      <c r="N511" s="2" t="s">
        <v>1879</v>
      </c>
      <c r="O511" s="3">
        <v>3477695873</v>
      </c>
      <c r="P511" t="s">
        <v>27</v>
      </c>
      <c r="Q511">
        <v>1</v>
      </c>
      <c r="R511" t="s">
        <v>1962</v>
      </c>
    </row>
    <row r="512" spans="1:18" x14ac:dyDescent="0.35">
      <c r="A512" t="s">
        <v>541</v>
      </c>
      <c r="B512" t="s">
        <v>9</v>
      </c>
      <c r="C512" t="s">
        <v>62</v>
      </c>
      <c r="D512" t="s">
        <v>1917</v>
      </c>
      <c r="E512" s="3">
        <v>40</v>
      </c>
      <c r="F512" t="s">
        <v>1817</v>
      </c>
      <c r="G512" t="s">
        <v>1824</v>
      </c>
      <c r="H512" t="s">
        <v>11</v>
      </c>
      <c r="I512" s="1" t="s">
        <v>1482</v>
      </c>
      <c r="J512" s="7">
        <v>1</v>
      </c>
      <c r="K512" s="7">
        <v>2024</v>
      </c>
      <c r="L512" s="3">
        <v>97648.84</v>
      </c>
      <c r="M512" s="9" t="s">
        <v>1960</v>
      </c>
      <c r="N512" s="2" t="s">
        <v>1852</v>
      </c>
      <c r="O512" s="3">
        <v>1314675360</v>
      </c>
      <c r="P512" t="s">
        <v>20</v>
      </c>
      <c r="Q512">
        <v>3</v>
      </c>
      <c r="R512" t="s">
        <v>1963</v>
      </c>
    </row>
    <row r="513" spans="1:18" x14ac:dyDescent="0.35">
      <c r="A513" t="s">
        <v>542</v>
      </c>
      <c r="B513" t="s">
        <v>42</v>
      </c>
      <c r="C513" t="s">
        <v>35</v>
      </c>
      <c r="D513" t="s">
        <v>1919</v>
      </c>
      <c r="E513" s="3">
        <v>25</v>
      </c>
      <c r="F513" t="s">
        <v>1817</v>
      </c>
      <c r="G513" t="s">
        <v>1822</v>
      </c>
      <c r="H513" t="s">
        <v>11</v>
      </c>
      <c r="I513" s="1" t="s">
        <v>1506</v>
      </c>
      <c r="J513" s="7">
        <v>4</v>
      </c>
      <c r="K513" s="7">
        <v>2021</v>
      </c>
      <c r="L513" s="3">
        <v>78643.429999999993</v>
      </c>
      <c r="M513" s="9" t="s">
        <v>1959</v>
      </c>
      <c r="N513" s="2" t="s">
        <v>1854</v>
      </c>
      <c r="O513" s="3">
        <v>2751562778</v>
      </c>
      <c r="P513" t="s">
        <v>20</v>
      </c>
      <c r="Q513">
        <v>3</v>
      </c>
      <c r="R513" t="s">
        <v>1962</v>
      </c>
    </row>
    <row r="514" spans="1:18" x14ac:dyDescent="0.35">
      <c r="A514" t="s">
        <v>543</v>
      </c>
      <c r="B514" t="s">
        <v>40</v>
      </c>
      <c r="C514" t="s">
        <v>10</v>
      </c>
      <c r="D514" t="s">
        <v>1952</v>
      </c>
      <c r="E514" s="3">
        <v>30</v>
      </c>
      <c r="F514" t="s">
        <v>1823</v>
      </c>
      <c r="G514" t="s">
        <v>1818</v>
      </c>
      <c r="H514" t="s">
        <v>11</v>
      </c>
      <c r="I514" s="1" t="s">
        <v>1507</v>
      </c>
      <c r="J514" s="7">
        <v>1</v>
      </c>
      <c r="K514" s="7">
        <v>2024</v>
      </c>
      <c r="L514" s="3">
        <v>55656.800000000003</v>
      </c>
      <c r="M514" s="9" t="s">
        <v>1958</v>
      </c>
      <c r="N514" s="2" t="s">
        <v>1887</v>
      </c>
      <c r="O514" s="3">
        <v>6304483607</v>
      </c>
      <c r="P514" t="s">
        <v>20</v>
      </c>
      <c r="Q514">
        <v>3</v>
      </c>
      <c r="R514" t="s">
        <v>1962</v>
      </c>
    </row>
    <row r="515" spans="1:18" x14ac:dyDescent="0.35">
      <c r="A515" t="s">
        <v>544</v>
      </c>
      <c r="B515" t="s">
        <v>34</v>
      </c>
      <c r="C515" t="s">
        <v>50</v>
      </c>
      <c r="D515" t="s">
        <v>1954</v>
      </c>
      <c r="E515" s="3">
        <v>35</v>
      </c>
      <c r="F515" t="s">
        <v>1813</v>
      </c>
      <c r="G515" t="s">
        <v>1816</v>
      </c>
      <c r="H515" t="s">
        <v>11</v>
      </c>
      <c r="I515" s="1" t="s">
        <v>1508</v>
      </c>
      <c r="J515" s="7">
        <v>3</v>
      </c>
      <c r="K515" s="7">
        <v>2022</v>
      </c>
      <c r="L515" s="3">
        <v>69146.95</v>
      </c>
      <c r="M515" s="9" t="s">
        <v>1959</v>
      </c>
      <c r="N515" s="2" t="s">
        <v>1889</v>
      </c>
      <c r="O515" s="3">
        <v>5456676639</v>
      </c>
      <c r="P515" t="s">
        <v>15</v>
      </c>
      <c r="Q515">
        <v>4</v>
      </c>
      <c r="R515" t="s">
        <v>1963</v>
      </c>
    </row>
    <row r="516" spans="1:18" x14ac:dyDescent="0.35">
      <c r="A516" t="s">
        <v>545</v>
      </c>
      <c r="B516" t="s">
        <v>34</v>
      </c>
      <c r="C516" t="s">
        <v>35</v>
      </c>
      <c r="D516" t="s">
        <v>1901</v>
      </c>
      <c r="E516" s="3">
        <v>30</v>
      </c>
      <c r="F516" t="s">
        <v>1817</v>
      </c>
      <c r="G516" t="s">
        <v>1820</v>
      </c>
      <c r="H516" t="s">
        <v>11</v>
      </c>
      <c r="I516" s="1" t="s">
        <v>1509</v>
      </c>
      <c r="J516" s="7">
        <v>5</v>
      </c>
      <c r="K516" s="7">
        <v>2020</v>
      </c>
      <c r="L516" s="3">
        <v>93013.58</v>
      </c>
      <c r="M516" s="9" t="s">
        <v>1960</v>
      </c>
      <c r="N516" s="2" t="s">
        <v>1836</v>
      </c>
      <c r="O516" s="3">
        <v>4735047638</v>
      </c>
      <c r="P516" t="s">
        <v>12</v>
      </c>
      <c r="Q516">
        <v>2</v>
      </c>
      <c r="R516" t="s">
        <v>1962</v>
      </c>
    </row>
    <row r="517" spans="1:18" x14ac:dyDescent="0.35">
      <c r="A517" t="s">
        <v>546</v>
      </c>
      <c r="B517" t="s">
        <v>42</v>
      </c>
      <c r="C517" t="s">
        <v>26</v>
      </c>
      <c r="D517" t="s">
        <v>1905</v>
      </c>
      <c r="E517" s="3">
        <v>40</v>
      </c>
      <c r="F517" t="s">
        <v>1815</v>
      </c>
      <c r="G517" t="s">
        <v>1820</v>
      </c>
      <c r="H517" t="s">
        <v>11</v>
      </c>
      <c r="I517" s="1" t="s">
        <v>1457</v>
      </c>
      <c r="J517" s="7">
        <v>5</v>
      </c>
      <c r="K517" s="7">
        <v>2020</v>
      </c>
      <c r="L517" s="3">
        <v>87364.78</v>
      </c>
      <c r="M517" s="9" t="s">
        <v>1960</v>
      </c>
      <c r="N517" s="2" t="s">
        <v>1840</v>
      </c>
      <c r="O517" s="3">
        <v>2831995297</v>
      </c>
      <c r="P517" t="s">
        <v>20</v>
      </c>
      <c r="Q517">
        <v>3</v>
      </c>
      <c r="R517" t="s">
        <v>1963</v>
      </c>
    </row>
    <row r="518" spans="1:18" x14ac:dyDescent="0.35">
      <c r="A518" t="s">
        <v>547</v>
      </c>
      <c r="B518" t="s">
        <v>17</v>
      </c>
      <c r="C518" t="s">
        <v>29</v>
      </c>
      <c r="D518" t="s">
        <v>1897</v>
      </c>
      <c r="E518" s="3">
        <v>35</v>
      </c>
      <c r="F518" t="s">
        <v>1821</v>
      </c>
      <c r="G518" t="s">
        <v>1822</v>
      </c>
      <c r="H518" t="s">
        <v>11</v>
      </c>
      <c r="I518" s="1" t="s">
        <v>1249</v>
      </c>
      <c r="J518" s="7">
        <v>2</v>
      </c>
      <c r="K518" s="7">
        <v>2023</v>
      </c>
      <c r="L518" s="3">
        <v>50288.67</v>
      </c>
      <c r="M518" s="9" t="s">
        <v>1958</v>
      </c>
      <c r="N518" s="2" t="s">
        <v>1832</v>
      </c>
      <c r="O518" s="3">
        <v>61558107</v>
      </c>
      <c r="P518" t="s">
        <v>15</v>
      </c>
      <c r="Q518">
        <v>4</v>
      </c>
      <c r="R518" t="s">
        <v>1963</v>
      </c>
    </row>
    <row r="519" spans="1:18" x14ac:dyDescent="0.35">
      <c r="A519" t="s">
        <v>548</v>
      </c>
      <c r="B519" t="s">
        <v>37</v>
      </c>
      <c r="C519" t="s">
        <v>50</v>
      </c>
      <c r="D519" t="s">
        <v>1913</v>
      </c>
      <c r="E519" s="3">
        <v>35</v>
      </c>
      <c r="F519" t="s">
        <v>1823</v>
      </c>
      <c r="G519" t="s">
        <v>1822</v>
      </c>
      <c r="H519" t="s">
        <v>11</v>
      </c>
      <c r="I519" s="1" t="s">
        <v>1510</v>
      </c>
      <c r="J519" s="7">
        <v>3</v>
      </c>
      <c r="K519" s="7">
        <v>2022</v>
      </c>
      <c r="L519" s="3">
        <v>85233.55</v>
      </c>
      <c r="M519" s="9" t="s">
        <v>1960</v>
      </c>
      <c r="N519" s="2" t="s">
        <v>1848</v>
      </c>
      <c r="O519" s="3">
        <v>3583286341</v>
      </c>
      <c r="P519" t="s">
        <v>20</v>
      </c>
      <c r="Q519">
        <v>3</v>
      </c>
      <c r="R519" t="s">
        <v>1962</v>
      </c>
    </row>
    <row r="520" spans="1:18" x14ac:dyDescent="0.35">
      <c r="A520" t="s">
        <v>549</v>
      </c>
      <c r="B520" t="s">
        <v>9</v>
      </c>
      <c r="C520" t="s">
        <v>29</v>
      </c>
      <c r="D520" t="s">
        <v>1926</v>
      </c>
      <c r="E520" s="3">
        <v>25</v>
      </c>
      <c r="F520" t="s">
        <v>1823</v>
      </c>
      <c r="G520" t="s">
        <v>1814</v>
      </c>
      <c r="H520" t="s">
        <v>23</v>
      </c>
      <c r="I520" s="1" t="s">
        <v>1511</v>
      </c>
      <c r="J520" s="7">
        <v>1</v>
      </c>
      <c r="K520" s="7">
        <v>2024</v>
      </c>
      <c r="L520" s="3">
        <v>86420.19</v>
      </c>
      <c r="M520" s="9" t="s">
        <v>1960</v>
      </c>
      <c r="N520" s="2" t="s">
        <v>1861</v>
      </c>
      <c r="O520" s="3">
        <v>5563830007</v>
      </c>
      <c r="P520" t="s">
        <v>20</v>
      </c>
      <c r="Q520">
        <v>3</v>
      </c>
      <c r="R520" t="s">
        <v>1963</v>
      </c>
    </row>
    <row r="521" spans="1:18" x14ac:dyDescent="0.35">
      <c r="A521" t="s">
        <v>550</v>
      </c>
      <c r="B521" t="s">
        <v>42</v>
      </c>
      <c r="C521" t="s">
        <v>35</v>
      </c>
      <c r="D521" t="s">
        <v>1919</v>
      </c>
      <c r="E521" s="3">
        <v>30</v>
      </c>
      <c r="F521" t="s">
        <v>1823</v>
      </c>
      <c r="G521" t="s">
        <v>1820</v>
      </c>
      <c r="H521" t="s">
        <v>23</v>
      </c>
      <c r="I521" s="1" t="s">
        <v>1512</v>
      </c>
      <c r="J521" s="7">
        <v>1</v>
      </c>
      <c r="K521" s="7">
        <v>2024</v>
      </c>
      <c r="L521" s="3">
        <v>63189.82</v>
      </c>
      <c r="M521" s="9" t="s">
        <v>1959</v>
      </c>
      <c r="N521" s="2" t="s">
        <v>1854</v>
      </c>
      <c r="O521" s="3">
        <v>1867024402</v>
      </c>
      <c r="P521" t="s">
        <v>15</v>
      </c>
      <c r="Q521">
        <v>4</v>
      </c>
      <c r="R521" t="s">
        <v>1963</v>
      </c>
    </row>
    <row r="522" spans="1:18" x14ac:dyDescent="0.35">
      <c r="A522" t="s">
        <v>551</v>
      </c>
      <c r="B522" t="s">
        <v>42</v>
      </c>
      <c r="C522" t="s">
        <v>29</v>
      </c>
      <c r="D522" t="s">
        <v>1908</v>
      </c>
      <c r="E522" s="3">
        <v>25</v>
      </c>
      <c r="F522" t="s">
        <v>1817</v>
      </c>
      <c r="G522" t="s">
        <v>1822</v>
      </c>
      <c r="H522" t="s">
        <v>19</v>
      </c>
      <c r="I522" s="1" t="s">
        <v>1513</v>
      </c>
      <c r="J522" s="7">
        <v>5</v>
      </c>
      <c r="K522" s="7">
        <v>2020</v>
      </c>
      <c r="L522" s="3">
        <v>64783.32</v>
      </c>
      <c r="M522" s="9" t="s">
        <v>1959</v>
      </c>
      <c r="N522" s="2" t="s">
        <v>1843</v>
      </c>
      <c r="O522" s="3">
        <v>3041662410</v>
      </c>
      <c r="P522" t="s">
        <v>12</v>
      </c>
      <c r="Q522">
        <v>2</v>
      </c>
      <c r="R522" t="s">
        <v>1963</v>
      </c>
    </row>
    <row r="523" spans="1:18" x14ac:dyDescent="0.35">
      <c r="A523" t="s">
        <v>552</v>
      </c>
      <c r="B523" t="s">
        <v>34</v>
      </c>
      <c r="C523" t="s">
        <v>10</v>
      </c>
      <c r="D523" t="s">
        <v>1931</v>
      </c>
      <c r="E523" s="3">
        <v>25</v>
      </c>
      <c r="F523" t="s">
        <v>1823</v>
      </c>
      <c r="G523" t="s">
        <v>1818</v>
      </c>
      <c r="H523" t="s">
        <v>19</v>
      </c>
      <c r="I523" s="1" t="s">
        <v>1065</v>
      </c>
      <c r="J523" s="7">
        <v>1</v>
      </c>
      <c r="K523" s="7">
        <v>2024</v>
      </c>
      <c r="L523" s="3">
        <v>52615.44</v>
      </c>
      <c r="M523" s="9" t="s">
        <v>1958</v>
      </c>
      <c r="N523" s="2" t="s">
        <v>1866</v>
      </c>
      <c r="O523" s="3">
        <v>1860089218</v>
      </c>
      <c r="P523" t="s">
        <v>12</v>
      </c>
      <c r="Q523">
        <v>2</v>
      </c>
      <c r="R523" t="s">
        <v>1963</v>
      </c>
    </row>
    <row r="524" spans="1:18" x14ac:dyDescent="0.35">
      <c r="A524" t="s">
        <v>553</v>
      </c>
      <c r="B524" t="s">
        <v>22</v>
      </c>
      <c r="C524" t="s">
        <v>50</v>
      </c>
      <c r="D524" t="s">
        <v>1943</v>
      </c>
      <c r="E524" s="3">
        <v>30</v>
      </c>
      <c r="F524" t="s">
        <v>1821</v>
      </c>
      <c r="G524" t="s">
        <v>1816</v>
      </c>
      <c r="H524" t="s">
        <v>19</v>
      </c>
      <c r="I524" s="1" t="s">
        <v>1514</v>
      </c>
      <c r="J524" s="7">
        <v>5</v>
      </c>
      <c r="K524" s="7">
        <v>2020</v>
      </c>
      <c r="L524" s="3">
        <v>96337.89</v>
      </c>
      <c r="M524" s="9" t="s">
        <v>1960</v>
      </c>
      <c r="N524" s="2" t="s">
        <v>1878</v>
      </c>
      <c r="O524" s="3">
        <v>6394568043</v>
      </c>
      <c r="P524" t="s">
        <v>27</v>
      </c>
      <c r="Q524">
        <v>1</v>
      </c>
      <c r="R524" t="s">
        <v>1963</v>
      </c>
    </row>
    <row r="525" spans="1:18" x14ac:dyDescent="0.35">
      <c r="A525" t="s">
        <v>554</v>
      </c>
      <c r="B525" t="s">
        <v>17</v>
      </c>
      <c r="C525" t="s">
        <v>10</v>
      </c>
      <c r="D525" t="s">
        <v>1928</v>
      </c>
      <c r="E525" s="3">
        <v>25</v>
      </c>
      <c r="F525" t="s">
        <v>1813</v>
      </c>
      <c r="G525" t="s">
        <v>1816</v>
      </c>
      <c r="H525" t="s">
        <v>23</v>
      </c>
      <c r="I525" s="1" t="s">
        <v>1515</v>
      </c>
      <c r="J525" s="7">
        <v>3</v>
      </c>
      <c r="K525" s="7">
        <v>2022</v>
      </c>
      <c r="L525" s="3">
        <v>76617.759999999995</v>
      </c>
      <c r="M525" s="9" t="s">
        <v>1959</v>
      </c>
      <c r="N525" s="2" t="s">
        <v>1863</v>
      </c>
      <c r="O525" s="3">
        <v>7314976460</v>
      </c>
      <c r="P525" t="s">
        <v>15</v>
      </c>
      <c r="Q525">
        <v>4</v>
      </c>
      <c r="R525" t="s">
        <v>1962</v>
      </c>
    </row>
    <row r="526" spans="1:18" x14ac:dyDescent="0.35">
      <c r="A526" t="s">
        <v>555</v>
      </c>
      <c r="B526" t="s">
        <v>40</v>
      </c>
      <c r="C526" t="s">
        <v>35</v>
      </c>
      <c r="D526" t="s">
        <v>1915</v>
      </c>
      <c r="E526" s="3">
        <v>30</v>
      </c>
      <c r="F526" t="s">
        <v>1817</v>
      </c>
      <c r="G526" t="s">
        <v>1818</v>
      </c>
      <c r="H526" t="s">
        <v>19</v>
      </c>
      <c r="I526" s="1" t="s">
        <v>1516</v>
      </c>
      <c r="J526" s="7">
        <v>2</v>
      </c>
      <c r="K526" s="7">
        <v>2023</v>
      </c>
      <c r="L526" s="3">
        <v>50651.32</v>
      </c>
      <c r="M526" s="9" t="s">
        <v>1958</v>
      </c>
      <c r="N526" s="2" t="s">
        <v>1850</v>
      </c>
      <c r="O526" s="3">
        <v>3684748835</v>
      </c>
      <c r="P526" t="s">
        <v>27</v>
      </c>
      <c r="Q526">
        <v>1</v>
      </c>
      <c r="R526" t="s">
        <v>1963</v>
      </c>
    </row>
    <row r="527" spans="1:18" x14ac:dyDescent="0.35">
      <c r="A527" t="s">
        <v>556</v>
      </c>
      <c r="B527" t="s">
        <v>9</v>
      </c>
      <c r="C527" t="s">
        <v>10</v>
      </c>
      <c r="D527" t="s">
        <v>1892</v>
      </c>
      <c r="E527" s="3">
        <v>30</v>
      </c>
      <c r="F527" t="s">
        <v>1823</v>
      </c>
      <c r="G527" t="s">
        <v>1824</v>
      </c>
      <c r="H527" t="s">
        <v>19</v>
      </c>
      <c r="I527" s="1" t="s">
        <v>1517</v>
      </c>
      <c r="J527" s="7">
        <v>2</v>
      </c>
      <c r="K527" s="7">
        <v>2023</v>
      </c>
      <c r="L527" s="3">
        <v>59601.45</v>
      </c>
      <c r="M527" s="9" t="s">
        <v>1958</v>
      </c>
      <c r="N527" s="2" t="s">
        <v>1827</v>
      </c>
      <c r="O527" s="3">
        <v>765817389</v>
      </c>
      <c r="P527" t="s">
        <v>27</v>
      </c>
      <c r="Q527">
        <v>1</v>
      </c>
      <c r="R527" t="s">
        <v>1963</v>
      </c>
    </row>
    <row r="528" spans="1:18" x14ac:dyDescent="0.35">
      <c r="A528" t="s">
        <v>557</v>
      </c>
      <c r="B528" t="s">
        <v>9</v>
      </c>
      <c r="C528" t="s">
        <v>26</v>
      </c>
      <c r="D528" t="s">
        <v>1924</v>
      </c>
      <c r="E528" s="3">
        <v>30</v>
      </c>
      <c r="F528" t="s">
        <v>1813</v>
      </c>
      <c r="G528" t="s">
        <v>1824</v>
      </c>
      <c r="H528" t="s">
        <v>11</v>
      </c>
      <c r="I528" s="1" t="s">
        <v>1518</v>
      </c>
      <c r="J528" s="7">
        <v>4</v>
      </c>
      <c r="K528" s="7">
        <v>2021</v>
      </c>
      <c r="L528" s="3">
        <v>57980.88</v>
      </c>
      <c r="M528" s="9" t="s">
        <v>1958</v>
      </c>
      <c r="N528" s="2" t="s">
        <v>1859</v>
      </c>
      <c r="O528" s="3">
        <v>6375791451</v>
      </c>
      <c r="P528" t="s">
        <v>27</v>
      </c>
      <c r="Q528">
        <v>1</v>
      </c>
      <c r="R528" t="s">
        <v>1963</v>
      </c>
    </row>
    <row r="529" spans="1:18" x14ac:dyDescent="0.35">
      <c r="A529" t="s">
        <v>558</v>
      </c>
      <c r="B529" t="s">
        <v>37</v>
      </c>
      <c r="C529" t="s">
        <v>35</v>
      </c>
      <c r="D529" t="s">
        <v>1937</v>
      </c>
      <c r="E529" s="3">
        <v>30</v>
      </c>
      <c r="F529" t="s">
        <v>1817</v>
      </c>
      <c r="G529" t="s">
        <v>1814</v>
      </c>
      <c r="H529" t="s">
        <v>19</v>
      </c>
      <c r="I529" s="1" t="s">
        <v>1519</v>
      </c>
      <c r="J529" s="7">
        <v>4</v>
      </c>
      <c r="K529" s="7">
        <v>2021</v>
      </c>
      <c r="L529" s="3">
        <v>75054.53</v>
      </c>
      <c r="M529" s="9" t="s">
        <v>1959</v>
      </c>
      <c r="N529" s="2" t="s">
        <v>1872</v>
      </c>
      <c r="O529" s="3">
        <v>1182379311</v>
      </c>
      <c r="P529" t="s">
        <v>12</v>
      </c>
      <c r="Q529">
        <v>2</v>
      </c>
      <c r="R529" t="s">
        <v>1963</v>
      </c>
    </row>
    <row r="530" spans="1:18" x14ac:dyDescent="0.35">
      <c r="A530" t="s">
        <v>559</v>
      </c>
      <c r="B530" t="s">
        <v>34</v>
      </c>
      <c r="C530" t="s">
        <v>35</v>
      </c>
      <c r="D530" t="s">
        <v>1901</v>
      </c>
      <c r="E530" s="3">
        <v>25</v>
      </c>
      <c r="F530" t="s">
        <v>1821</v>
      </c>
      <c r="G530" t="s">
        <v>1820</v>
      </c>
      <c r="H530" t="s">
        <v>11</v>
      </c>
      <c r="I530" s="1" t="s">
        <v>1520</v>
      </c>
      <c r="J530" s="7">
        <v>2</v>
      </c>
      <c r="K530" s="7">
        <v>2023</v>
      </c>
      <c r="L530" s="3">
        <v>115318.7</v>
      </c>
      <c r="M530" s="9" t="s">
        <v>1960</v>
      </c>
      <c r="N530" s="2" t="s">
        <v>1836</v>
      </c>
      <c r="O530" s="3">
        <v>6978930745</v>
      </c>
      <c r="P530" t="s">
        <v>15</v>
      </c>
      <c r="Q530">
        <v>4</v>
      </c>
      <c r="R530" t="s">
        <v>1963</v>
      </c>
    </row>
    <row r="531" spans="1:18" x14ac:dyDescent="0.35">
      <c r="A531" t="s">
        <v>560</v>
      </c>
      <c r="B531" t="s">
        <v>17</v>
      </c>
      <c r="C531" t="s">
        <v>35</v>
      </c>
      <c r="D531" t="s">
        <v>1925</v>
      </c>
      <c r="E531" s="3">
        <v>25</v>
      </c>
      <c r="F531" t="s">
        <v>1813</v>
      </c>
      <c r="G531" t="s">
        <v>1816</v>
      </c>
      <c r="H531" t="s">
        <v>11</v>
      </c>
      <c r="I531" s="1" t="s">
        <v>1521</v>
      </c>
      <c r="J531" s="7">
        <v>1</v>
      </c>
      <c r="K531" s="7">
        <v>2024</v>
      </c>
      <c r="L531" s="3">
        <v>90190.69</v>
      </c>
      <c r="M531" s="9" t="s">
        <v>1960</v>
      </c>
      <c r="N531" s="2" t="s">
        <v>1860</v>
      </c>
      <c r="O531" s="3">
        <v>4520599603</v>
      </c>
      <c r="P531" t="s">
        <v>27</v>
      </c>
      <c r="Q531">
        <v>1</v>
      </c>
      <c r="R531" t="s">
        <v>1962</v>
      </c>
    </row>
    <row r="532" spans="1:18" x14ac:dyDescent="0.35">
      <c r="A532" t="s">
        <v>561</v>
      </c>
      <c r="B532" t="s">
        <v>9</v>
      </c>
      <c r="C532" t="s">
        <v>62</v>
      </c>
      <c r="D532" t="s">
        <v>1917</v>
      </c>
      <c r="E532" s="3">
        <v>30</v>
      </c>
      <c r="F532" t="s">
        <v>1819</v>
      </c>
      <c r="G532" t="s">
        <v>1818</v>
      </c>
      <c r="H532" t="s">
        <v>19</v>
      </c>
      <c r="I532" s="1" t="s">
        <v>1473</v>
      </c>
      <c r="J532" s="7">
        <v>5</v>
      </c>
      <c r="K532" s="7">
        <v>2020</v>
      </c>
      <c r="L532" s="3">
        <v>113334.56</v>
      </c>
      <c r="M532" s="9" t="s">
        <v>1960</v>
      </c>
      <c r="N532" s="2" t="s">
        <v>1852</v>
      </c>
      <c r="O532" s="3">
        <v>3878753576</v>
      </c>
      <c r="P532" t="s">
        <v>15</v>
      </c>
      <c r="Q532">
        <v>4</v>
      </c>
      <c r="R532" t="s">
        <v>1963</v>
      </c>
    </row>
    <row r="533" spans="1:18" x14ac:dyDescent="0.35">
      <c r="A533" t="s">
        <v>562</v>
      </c>
      <c r="B533" t="s">
        <v>40</v>
      </c>
      <c r="C533" t="s">
        <v>29</v>
      </c>
      <c r="D533" t="s">
        <v>1942</v>
      </c>
      <c r="E533" s="3">
        <v>35</v>
      </c>
      <c r="F533" t="s">
        <v>1823</v>
      </c>
      <c r="G533" t="s">
        <v>1820</v>
      </c>
      <c r="H533" t="s">
        <v>11</v>
      </c>
      <c r="I533" s="1" t="s">
        <v>1522</v>
      </c>
      <c r="J533" s="7">
        <v>5</v>
      </c>
      <c r="K533" s="7">
        <v>2020</v>
      </c>
      <c r="L533" s="3">
        <v>106922.49</v>
      </c>
      <c r="M533" s="9" t="s">
        <v>1960</v>
      </c>
      <c r="N533" s="2" t="s">
        <v>1877</v>
      </c>
      <c r="O533" s="3">
        <v>8811616201</v>
      </c>
      <c r="P533" t="s">
        <v>15</v>
      </c>
      <c r="Q533">
        <v>4</v>
      </c>
      <c r="R533" t="s">
        <v>1962</v>
      </c>
    </row>
    <row r="534" spans="1:18" x14ac:dyDescent="0.35">
      <c r="A534" t="s">
        <v>563</v>
      </c>
      <c r="B534" t="s">
        <v>22</v>
      </c>
      <c r="C534" t="s">
        <v>62</v>
      </c>
      <c r="D534" t="s">
        <v>1955</v>
      </c>
      <c r="E534" s="3">
        <v>35</v>
      </c>
      <c r="F534" t="s">
        <v>1813</v>
      </c>
      <c r="G534" t="s">
        <v>1814</v>
      </c>
      <c r="H534" t="s">
        <v>23</v>
      </c>
      <c r="I534" s="1" t="s">
        <v>1523</v>
      </c>
      <c r="J534" s="7">
        <v>1</v>
      </c>
      <c r="K534" s="7">
        <v>2024</v>
      </c>
      <c r="L534" s="3">
        <v>58113.07</v>
      </c>
      <c r="M534" s="9" t="s">
        <v>1958</v>
      </c>
      <c r="N534" s="2" t="s">
        <v>1890</v>
      </c>
      <c r="O534" s="3">
        <v>8123710671</v>
      </c>
      <c r="P534" t="s">
        <v>12</v>
      </c>
      <c r="Q534">
        <v>2</v>
      </c>
      <c r="R534" t="s">
        <v>1962</v>
      </c>
    </row>
    <row r="535" spans="1:18" x14ac:dyDescent="0.35">
      <c r="A535" t="s">
        <v>564</v>
      </c>
      <c r="B535" t="s">
        <v>17</v>
      </c>
      <c r="C535" t="s">
        <v>62</v>
      </c>
      <c r="D535" t="s">
        <v>1933</v>
      </c>
      <c r="E535" s="3">
        <v>25</v>
      </c>
      <c r="F535" t="s">
        <v>1817</v>
      </c>
      <c r="G535" t="s">
        <v>1818</v>
      </c>
      <c r="H535" t="s">
        <v>19</v>
      </c>
      <c r="I535" s="1" t="s">
        <v>1524</v>
      </c>
      <c r="J535" s="7">
        <v>4</v>
      </c>
      <c r="K535" s="7">
        <v>2020</v>
      </c>
      <c r="L535" s="3">
        <v>73006.259999999995</v>
      </c>
      <c r="M535" s="9" t="s">
        <v>1959</v>
      </c>
      <c r="N535" s="2" t="s">
        <v>1868</v>
      </c>
      <c r="O535" s="3">
        <v>8728660415</v>
      </c>
      <c r="P535" t="s">
        <v>27</v>
      </c>
      <c r="Q535">
        <v>1</v>
      </c>
      <c r="R535" t="s">
        <v>1962</v>
      </c>
    </row>
    <row r="536" spans="1:18" x14ac:dyDescent="0.35">
      <c r="A536" t="s">
        <v>565</v>
      </c>
      <c r="B536" t="s">
        <v>22</v>
      </c>
      <c r="C536" t="s">
        <v>26</v>
      </c>
      <c r="D536" t="s">
        <v>1923</v>
      </c>
      <c r="E536" s="3">
        <v>25</v>
      </c>
      <c r="F536" t="s">
        <v>1823</v>
      </c>
      <c r="G536" t="s">
        <v>1814</v>
      </c>
      <c r="H536" t="s">
        <v>11</v>
      </c>
      <c r="I536" s="1" t="s">
        <v>1224</v>
      </c>
      <c r="J536" s="7">
        <v>5</v>
      </c>
      <c r="K536" s="7">
        <v>2020</v>
      </c>
      <c r="L536" s="3">
        <v>78054.429999999993</v>
      </c>
      <c r="M536" s="9" t="s">
        <v>1959</v>
      </c>
      <c r="N536" s="2" t="s">
        <v>1858</v>
      </c>
      <c r="O536" s="3">
        <v>4485959223</v>
      </c>
      <c r="P536" t="s">
        <v>27</v>
      </c>
      <c r="Q536">
        <v>1</v>
      </c>
      <c r="R536" t="s">
        <v>1962</v>
      </c>
    </row>
    <row r="537" spans="1:18" x14ac:dyDescent="0.35">
      <c r="A537" t="s">
        <v>566</v>
      </c>
      <c r="B537" t="s">
        <v>22</v>
      </c>
      <c r="C537" t="s">
        <v>50</v>
      </c>
      <c r="D537" t="s">
        <v>1943</v>
      </c>
      <c r="E537" s="3">
        <v>40</v>
      </c>
      <c r="F537" t="s">
        <v>1813</v>
      </c>
      <c r="G537" t="s">
        <v>1820</v>
      </c>
      <c r="H537" t="s">
        <v>23</v>
      </c>
      <c r="I537" s="1" t="s">
        <v>1353</v>
      </c>
      <c r="J537" s="7">
        <v>2</v>
      </c>
      <c r="K537" s="7">
        <v>2023</v>
      </c>
      <c r="L537" s="3">
        <v>112028.67</v>
      </c>
      <c r="M537" s="9" t="s">
        <v>1960</v>
      </c>
      <c r="N537" s="2" t="s">
        <v>1878</v>
      </c>
      <c r="O537" s="3">
        <v>8395894772</v>
      </c>
      <c r="P537" t="s">
        <v>15</v>
      </c>
      <c r="Q537">
        <v>4</v>
      </c>
      <c r="R537" t="s">
        <v>1963</v>
      </c>
    </row>
    <row r="538" spans="1:18" x14ac:dyDescent="0.35">
      <c r="A538" t="s">
        <v>567</v>
      </c>
      <c r="B538" t="s">
        <v>34</v>
      </c>
      <c r="C538" t="s">
        <v>29</v>
      </c>
      <c r="D538" t="s">
        <v>1909</v>
      </c>
      <c r="E538" s="3">
        <v>25</v>
      </c>
      <c r="F538" t="s">
        <v>1817</v>
      </c>
      <c r="G538" t="s">
        <v>1816</v>
      </c>
      <c r="H538" t="s">
        <v>23</v>
      </c>
      <c r="I538" s="1" t="s">
        <v>1525</v>
      </c>
      <c r="J538" s="7">
        <v>2</v>
      </c>
      <c r="K538" s="7">
        <v>2023</v>
      </c>
      <c r="L538" s="3">
        <v>83787.240000000005</v>
      </c>
      <c r="M538" s="9" t="s">
        <v>1959</v>
      </c>
      <c r="N538" s="2" t="s">
        <v>1844</v>
      </c>
      <c r="O538" s="3">
        <v>5228705621</v>
      </c>
      <c r="P538" t="s">
        <v>20</v>
      </c>
      <c r="Q538">
        <v>3</v>
      </c>
      <c r="R538" t="s">
        <v>1962</v>
      </c>
    </row>
    <row r="539" spans="1:18" x14ac:dyDescent="0.35">
      <c r="A539" t="s">
        <v>568</v>
      </c>
      <c r="B539" t="s">
        <v>40</v>
      </c>
      <c r="C539" t="s">
        <v>10</v>
      </c>
      <c r="D539" t="s">
        <v>1952</v>
      </c>
      <c r="E539" s="3">
        <v>30</v>
      </c>
      <c r="F539" t="s">
        <v>1821</v>
      </c>
      <c r="G539" t="s">
        <v>1820</v>
      </c>
      <c r="H539" t="s">
        <v>23</v>
      </c>
      <c r="I539" s="1" t="s">
        <v>1526</v>
      </c>
      <c r="J539" s="7">
        <v>2</v>
      </c>
      <c r="K539" s="7">
        <v>2023</v>
      </c>
      <c r="L539" s="3">
        <v>52017.14</v>
      </c>
      <c r="M539" s="9" t="s">
        <v>1958</v>
      </c>
      <c r="N539" s="2" t="s">
        <v>1887</v>
      </c>
      <c r="O539" s="3">
        <v>7104331874</v>
      </c>
      <c r="P539" t="s">
        <v>12</v>
      </c>
      <c r="Q539">
        <v>2</v>
      </c>
      <c r="R539" t="s">
        <v>1962</v>
      </c>
    </row>
    <row r="540" spans="1:18" x14ac:dyDescent="0.35">
      <c r="A540" t="s">
        <v>569</v>
      </c>
      <c r="B540" t="s">
        <v>34</v>
      </c>
      <c r="C540" t="s">
        <v>18</v>
      </c>
      <c r="D540" t="s">
        <v>1916</v>
      </c>
      <c r="E540" s="3">
        <v>40</v>
      </c>
      <c r="F540" t="s">
        <v>1815</v>
      </c>
      <c r="G540" t="s">
        <v>1816</v>
      </c>
      <c r="H540" t="s">
        <v>23</v>
      </c>
      <c r="I540" s="1" t="s">
        <v>1527</v>
      </c>
      <c r="J540" s="7">
        <v>3</v>
      </c>
      <c r="K540" s="7">
        <v>2022</v>
      </c>
      <c r="L540" s="3">
        <v>53218.06</v>
      </c>
      <c r="M540" s="9" t="s">
        <v>1958</v>
      </c>
      <c r="N540" s="2" t="s">
        <v>1851</v>
      </c>
      <c r="O540" s="3">
        <v>1097921582</v>
      </c>
      <c r="P540" t="s">
        <v>12</v>
      </c>
      <c r="Q540">
        <v>2</v>
      </c>
      <c r="R540" t="s">
        <v>1963</v>
      </c>
    </row>
    <row r="541" spans="1:18" x14ac:dyDescent="0.35">
      <c r="A541" t="s">
        <v>570</v>
      </c>
      <c r="B541" t="s">
        <v>25</v>
      </c>
      <c r="C541" t="s">
        <v>35</v>
      </c>
      <c r="D541" t="s">
        <v>1944</v>
      </c>
      <c r="E541" s="3">
        <v>25</v>
      </c>
      <c r="F541" t="s">
        <v>1813</v>
      </c>
      <c r="G541" t="s">
        <v>1818</v>
      </c>
      <c r="H541" t="s">
        <v>19</v>
      </c>
      <c r="I541" s="1" t="s">
        <v>1528</v>
      </c>
      <c r="J541" s="7">
        <v>1</v>
      </c>
      <c r="K541" s="7">
        <v>2024</v>
      </c>
      <c r="L541" s="3">
        <v>102053.67</v>
      </c>
      <c r="M541" s="9" t="s">
        <v>1960</v>
      </c>
      <c r="N541" s="2" t="s">
        <v>1879</v>
      </c>
      <c r="O541" s="3">
        <v>5034469458</v>
      </c>
      <c r="P541" t="s">
        <v>12</v>
      </c>
      <c r="Q541">
        <v>2</v>
      </c>
      <c r="R541" t="s">
        <v>1963</v>
      </c>
    </row>
    <row r="542" spans="1:18" x14ac:dyDescent="0.35">
      <c r="A542" t="s">
        <v>571</v>
      </c>
      <c r="B542" t="s">
        <v>37</v>
      </c>
      <c r="C542" t="s">
        <v>10</v>
      </c>
      <c r="D542" t="s">
        <v>1903</v>
      </c>
      <c r="E542" s="3">
        <v>35</v>
      </c>
      <c r="F542" t="s">
        <v>1821</v>
      </c>
      <c r="G542" t="s">
        <v>1824</v>
      </c>
      <c r="H542" t="s">
        <v>19</v>
      </c>
      <c r="I542" s="1" t="s">
        <v>1529</v>
      </c>
      <c r="J542" s="7">
        <v>2</v>
      </c>
      <c r="K542" s="7">
        <v>2023</v>
      </c>
      <c r="L542" s="3">
        <v>93276.73</v>
      </c>
      <c r="M542" s="9" t="s">
        <v>1960</v>
      </c>
      <c r="N542" s="2" t="s">
        <v>1838</v>
      </c>
      <c r="O542" s="3">
        <v>6488319212</v>
      </c>
      <c r="P542" t="s">
        <v>12</v>
      </c>
      <c r="Q542">
        <v>2</v>
      </c>
      <c r="R542" t="s">
        <v>1963</v>
      </c>
    </row>
    <row r="543" spans="1:18" x14ac:dyDescent="0.35">
      <c r="A543" t="s">
        <v>572</v>
      </c>
      <c r="B543" t="s">
        <v>37</v>
      </c>
      <c r="C543" t="s">
        <v>35</v>
      </c>
      <c r="D543" t="s">
        <v>1937</v>
      </c>
      <c r="E543" s="3">
        <v>40</v>
      </c>
      <c r="F543" t="s">
        <v>1823</v>
      </c>
      <c r="G543" t="s">
        <v>1818</v>
      </c>
      <c r="H543" t="s">
        <v>19</v>
      </c>
      <c r="I543" s="1" t="s">
        <v>1530</v>
      </c>
      <c r="J543" s="7">
        <v>2</v>
      </c>
      <c r="K543" s="7">
        <v>2023</v>
      </c>
      <c r="L543" s="3">
        <v>76941.36</v>
      </c>
      <c r="M543" s="9" t="s">
        <v>1959</v>
      </c>
      <c r="N543" s="2" t="s">
        <v>1872</v>
      </c>
      <c r="O543" s="3">
        <v>4249128964</v>
      </c>
      <c r="P543" t="s">
        <v>27</v>
      </c>
      <c r="Q543">
        <v>1</v>
      </c>
      <c r="R543" t="s">
        <v>1962</v>
      </c>
    </row>
    <row r="544" spans="1:18" x14ac:dyDescent="0.35">
      <c r="A544" t="s">
        <v>573</v>
      </c>
      <c r="B544" t="s">
        <v>17</v>
      </c>
      <c r="C544" t="s">
        <v>26</v>
      </c>
      <c r="D544" t="s">
        <v>1950</v>
      </c>
      <c r="E544" s="3">
        <v>25</v>
      </c>
      <c r="F544" t="s">
        <v>1813</v>
      </c>
      <c r="G544" t="s">
        <v>1822</v>
      </c>
      <c r="H544" t="s">
        <v>19</v>
      </c>
      <c r="I544" s="1" t="s">
        <v>1437</v>
      </c>
      <c r="J544" s="7">
        <v>1</v>
      </c>
      <c r="K544" s="7">
        <v>2024</v>
      </c>
      <c r="L544" s="3">
        <v>82850.23</v>
      </c>
      <c r="M544" s="9" t="s">
        <v>1959</v>
      </c>
      <c r="N544" s="2" t="s">
        <v>1885</v>
      </c>
      <c r="O544" s="3">
        <v>9994973202</v>
      </c>
      <c r="P544" t="s">
        <v>27</v>
      </c>
      <c r="Q544">
        <v>1</v>
      </c>
      <c r="R544" t="s">
        <v>1963</v>
      </c>
    </row>
    <row r="545" spans="1:18" x14ac:dyDescent="0.35">
      <c r="A545" t="s">
        <v>574</v>
      </c>
      <c r="B545" t="s">
        <v>34</v>
      </c>
      <c r="C545" t="s">
        <v>35</v>
      </c>
      <c r="D545" t="s">
        <v>1901</v>
      </c>
      <c r="E545" s="3">
        <v>25</v>
      </c>
      <c r="F545" t="s">
        <v>1815</v>
      </c>
      <c r="G545" t="s">
        <v>1814</v>
      </c>
      <c r="H545" t="s">
        <v>11</v>
      </c>
      <c r="I545" s="1" t="s">
        <v>1394</v>
      </c>
      <c r="J545" s="7">
        <v>4</v>
      </c>
      <c r="K545" s="7">
        <v>2021</v>
      </c>
      <c r="L545" s="3">
        <v>117910.15</v>
      </c>
      <c r="M545" s="9" t="s">
        <v>1960</v>
      </c>
      <c r="N545" s="2" t="s">
        <v>1836</v>
      </c>
      <c r="O545" s="3">
        <v>3192227050</v>
      </c>
      <c r="P545" t="s">
        <v>20</v>
      </c>
      <c r="Q545">
        <v>3</v>
      </c>
      <c r="R545" t="s">
        <v>1963</v>
      </c>
    </row>
    <row r="546" spans="1:18" x14ac:dyDescent="0.35">
      <c r="A546" t="s">
        <v>575</v>
      </c>
      <c r="B546" t="s">
        <v>37</v>
      </c>
      <c r="C546" t="s">
        <v>62</v>
      </c>
      <c r="D546" t="s">
        <v>1949</v>
      </c>
      <c r="E546" s="3">
        <v>30</v>
      </c>
      <c r="F546" t="s">
        <v>1813</v>
      </c>
      <c r="G546" t="s">
        <v>1820</v>
      </c>
      <c r="H546" t="s">
        <v>23</v>
      </c>
      <c r="I546" s="1" t="s">
        <v>1531</v>
      </c>
      <c r="J546" s="7">
        <v>1</v>
      </c>
      <c r="K546" s="7">
        <v>2024</v>
      </c>
      <c r="L546" s="3">
        <v>66450</v>
      </c>
      <c r="M546" s="9" t="s">
        <v>1959</v>
      </c>
      <c r="N546" s="2" t="s">
        <v>1884</v>
      </c>
      <c r="O546" s="3">
        <v>287675480</v>
      </c>
      <c r="P546" t="s">
        <v>12</v>
      </c>
      <c r="Q546">
        <v>2</v>
      </c>
      <c r="R546" t="s">
        <v>1962</v>
      </c>
    </row>
    <row r="547" spans="1:18" x14ac:dyDescent="0.35">
      <c r="A547" t="s">
        <v>576</v>
      </c>
      <c r="B547" t="s">
        <v>40</v>
      </c>
      <c r="C547" t="s">
        <v>29</v>
      </c>
      <c r="D547" t="s">
        <v>1942</v>
      </c>
      <c r="E547" s="3">
        <v>25</v>
      </c>
      <c r="F547" t="s">
        <v>1815</v>
      </c>
      <c r="G547" t="s">
        <v>1820</v>
      </c>
      <c r="H547" t="s">
        <v>23</v>
      </c>
      <c r="I547" s="1" t="s">
        <v>1532</v>
      </c>
      <c r="J547" s="7">
        <v>5</v>
      </c>
      <c r="K547" s="7">
        <v>2020</v>
      </c>
      <c r="L547" s="3">
        <v>118646.95</v>
      </c>
      <c r="M547" s="9" t="s">
        <v>1960</v>
      </c>
      <c r="N547" s="2" t="s">
        <v>1877</v>
      </c>
      <c r="O547" s="3">
        <v>3866675484</v>
      </c>
      <c r="P547" t="s">
        <v>12</v>
      </c>
      <c r="Q547">
        <v>2</v>
      </c>
      <c r="R547" t="s">
        <v>1963</v>
      </c>
    </row>
    <row r="548" spans="1:18" x14ac:dyDescent="0.35">
      <c r="A548" t="s">
        <v>577</v>
      </c>
      <c r="B548" t="s">
        <v>17</v>
      </c>
      <c r="C548" t="s">
        <v>18</v>
      </c>
      <c r="D548" t="s">
        <v>1894</v>
      </c>
      <c r="E548" s="3">
        <v>25</v>
      </c>
      <c r="F548" t="s">
        <v>1815</v>
      </c>
      <c r="G548" t="s">
        <v>1820</v>
      </c>
      <c r="H548" t="s">
        <v>11</v>
      </c>
      <c r="I548" s="1" t="s">
        <v>1533</v>
      </c>
      <c r="J548" s="7">
        <v>2</v>
      </c>
      <c r="K548" s="7">
        <v>2023</v>
      </c>
      <c r="L548" s="3">
        <v>88436.92</v>
      </c>
      <c r="M548" s="9" t="s">
        <v>1960</v>
      </c>
      <c r="N548" s="2" t="s">
        <v>1829</v>
      </c>
      <c r="O548" s="3">
        <v>8193242686</v>
      </c>
      <c r="P548" t="s">
        <v>15</v>
      </c>
      <c r="Q548">
        <v>4</v>
      </c>
      <c r="R548" t="s">
        <v>1963</v>
      </c>
    </row>
    <row r="549" spans="1:18" x14ac:dyDescent="0.35">
      <c r="A549" t="s">
        <v>578</v>
      </c>
      <c r="B549" t="s">
        <v>22</v>
      </c>
      <c r="C549" t="s">
        <v>14</v>
      </c>
      <c r="D549" t="s">
        <v>1927</v>
      </c>
      <c r="E549" s="3">
        <v>30</v>
      </c>
      <c r="F549" t="s">
        <v>1821</v>
      </c>
      <c r="G549" t="s">
        <v>1822</v>
      </c>
      <c r="H549" t="s">
        <v>19</v>
      </c>
      <c r="I549" s="1" t="s">
        <v>1350</v>
      </c>
      <c r="J549" s="7">
        <v>2</v>
      </c>
      <c r="K549" s="7">
        <v>2023</v>
      </c>
      <c r="L549" s="3">
        <v>81934.55</v>
      </c>
      <c r="M549" s="9" t="s">
        <v>1959</v>
      </c>
      <c r="N549" s="2" t="s">
        <v>1862</v>
      </c>
      <c r="O549" s="3">
        <v>7418652056</v>
      </c>
      <c r="P549" t="s">
        <v>27</v>
      </c>
      <c r="Q549">
        <v>1</v>
      </c>
      <c r="R549" t="s">
        <v>1963</v>
      </c>
    </row>
    <row r="550" spans="1:18" x14ac:dyDescent="0.35">
      <c r="A550" t="s">
        <v>579</v>
      </c>
      <c r="B550" t="s">
        <v>17</v>
      </c>
      <c r="C550" t="s">
        <v>35</v>
      </c>
      <c r="D550" t="s">
        <v>1925</v>
      </c>
      <c r="E550" s="3">
        <v>30</v>
      </c>
      <c r="F550" t="s">
        <v>1815</v>
      </c>
      <c r="G550" t="s">
        <v>1814</v>
      </c>
      <c r="H550" t="s">
        <v>19</v>
      </c>
      <c r="I550" s="1" t="s">
        <v>1528</v>
      </c>
      <c r="J550" s="7">
        <v>1</v>
      </c>
      <c r="K550" s="7">
        <v>2024</v>
      </c>
      <c r="L550" s="3">
        <v>93383.06</v>
      </c>
      <c r="M550" s="9" t="s">
        <v>1960</v>
      </c>
      <c r="N550" s="2" t="s">
        <v>1860</v>
      </c>
      <c r="O550" s="3">
        <v>5639836519</v>
      </c>
      <c r="P550" t="s">
        <v>12</v>
      </c>
      <c r="Q550">
        <v>2</v>
      </c>
      <c r="R550" t="s">
        <v>1963</v>
      </c>
    </row>
    <row r="551" spans="1:18" x14ac:dyDescent="0.35">
      <c r="A551" t="s">
        <v>580</v>
      </c>
      <c r="B551" t="s">
        <v>25</v>
      </c>
      <c r="C551" t="s">
        <v>10</v>
      </c>
      <c r="D551" t="s">
        <v>1900</v>
      </c>
      <c r="E551" s="3">
        <v>40</v>
      </c>
      <c r="F551" t="s">
        <v>1819</v>
      </c>
      <c r="G551" t="s">
        <v>1816</v>
      </c>
      <c r="H551" t="s">
        <v>19</v>
      </c>
      <c r="I551" s="1" t="s">
        <v>1534</v>
      </c>
      <c r="J551" s="7">
        <v>4</v>
      </c>
      <c r="K551" s="7">
        <v>2021</v>
      </c>
      <c r="L551" s="3">
        <v>50153.79</v>
      </c>
      <c r="M551" s="9" t="s">
        <v>1958</v>
      </c>
      <c r="N551" s="2" t="s">
        <v>1835</v>
      </c>
      <c r="O551" s="3">
        <v>3758309450</v>
      </c>
      <c r="P551" t="s">
        <v>20</v>
      </c>
      <c r="Q551">
        <v>3</v>
      </c>
      <c r="R551" t="s">
        <v>1962</v>
      </c>
    </row>
    <row r="552" spans="1:18" x14ac:dyDescent="0.35">
      <c r="A552" t="s">
        <v>581</v>
      </c>
      <c r="B552" t="s">
        <v>22</v>
      </c>
      <c r="C552" t="s">
        <v>62</v>
      </c>
      <c r="D552" t="s">
        <v>1955</v>
      </c>
      <c r="E552" s="3">
        <v>30</v>
      </c>
      <c r="F552" t="s">
        <v>1821</v>
      </c>
      <c r="G552" t="s">
        <v>1814</v>
      </c>
      <c r="H552" t="s">
        <v>19</v>
      </c>
      <c r="I552" s="1" t="s">
        <v>1535</v>
      </c>
      <c r="J552" s="7">
        <v>5</v>
      </c>
      <c r="K552" s="7">
        <v>2020</v>
      </c>
      <c r="L552" s="3">
        <v>53204.47</v>
      </c>
      <c r="M552" s="9" t="s">
        <v>1958</v>
      </c>
      <c r="N552" s="2" t="s">
        <v>1890</v>
      </c>
      <c r="O552" s="3">
        <v>5480940475</v>
      </c>
      <c r="P552" t="s">
        <v>20</v>
      </c>
      <c r="Q552">
        <v>3</v>
      </c>
      <c r="R552" t="s">
        <v>1963</v>
      </c>
    </row>
    <row r="553" spans="1:18" x14ac:dyDescent="0.35">
      <c r="A553" t="s">
        <v>582</v>
      </c>
      <c r="B553" t="s">
        <v>34</v>
      </c>
      <c r="C553" t="s">
        <v>14</v>
      </c>
      <c r="D553" t="s">
        <v>1918</v>
      </c>
      <c r="E553" s="3">
        <v>40</v>
      </c>
      <c r="F553" t="s">
        <v>1819</v>
      </c>
      <c r="G553" t="s">
        <v>1814</v>
      </c>
      <c r="H553" t="s">
        <v>19</v>
      </c>
      <c r="I553" s="1" t="s">
        <v>1536</v>
      </c>
      <c r="J553" s="7">
        <v>4</v>
      </c>
      <c r="K553" s="7">
        <v>2021</v>
      </c>
      <c r="L553" s="3">
        <v>63128.04</v>
      </c>
      <c r="M553" s="9" t="s">
        <v>1959</v>
      </c>
      <c r="N553" s="2" t="s">
        <v>1853</v>
      </c>
      <c r="O553" s="3">
        <v>440907976</v>
      </c>
      <c r="P553" t="s">
        <v>27</v>
      </c>
      <c r="Q553">
        <v>1</v>
      </c>
      <c r="R553" t="s">
        <v>1963</v>
      </c>
    </row>
    <row r="554" spans="1:18" x14ac:dyDescent="0.35">
      <c r="A554" t="s">
        <v>583</v>
      </c>
      <c r="B554" t="s">
        <v>42</v>
      </c>
      <c r="C554" t="s">
        <v>18</v>
      </c>
      <c r="D554" t="s">
        <v>1906</v>
      </c>
      <c r="E554" s="3">
        <v>30</v>
      </c>
      <c r="F554" t="s">
        <v>1815</v>
      </c>
      <c r="G554" t="s">
        <v>1822</v>
      </c>
      <c r="H554" t="s">
        <v>19</v>
      </c>
      <c r="I554" s="1" t="s">
        <v>1537</v>
      </c>
      <c r="J554" s="7">
        <v>4</v>
      </c>
      <c r="K554" s="7">
        <v>2021</v>
      </c>
      <c r="L554" s="3">
        <v>57543.6</v>
      </c>
      <c r="M554" s="9" t="s">
        <v>1958</v>
      </c>
      <c r="N554" s="2" t="s">
        <v>1841</v>
      </c>
      <c r="O554" s="3">
        <v>2781050921</v>
      </c>
      <c r="P554" t="s">
        <v>20</v>
      </c>
      <c r="Q554">
        <v>3</v>
      </c>
      <c r="R554" t="s">
        <v>1962</v>
      </c>
    </row>
    <row r="555" spans="1:18" x14ac:dyDescent="0.35">
      <c r="A555" t="s">
        <v>584</v>
      </c>
      <c r="B555" t="s">
        <v>9</v>
      </c>
      <c r="C555" t="s">
        <v>14</v>
      </c>
      <c r="D555" t="s">
        <v>1893</v>
      </c>
      <c r="E555" s="3">
        <v>40</v>
      </c>
      <c r="F555" t="s">
        <v>1815</v>
      </c>
      <c r="G555" t="s">
        <v>1818</v>
      </c>
      <c r="H555" t="s">
        <v>19</v>
      </c>
      <c r="I555" s="1" t="s">
        <v>1538</v>
      </c>
      <c r="J555" s="7">
        <v>3</v>
      </c>
      <c r="K555" s="7">
        <v>2022</v>
      </c>
      <c r="L555" s="3">
        <v>59424.52</v>
      </c>
      <c r="M555" s="9" t="s">
        <v>1958</v>
      </c>
      <c r="N555" s="2" t="s">
        <v>1828</v>
      </c>
      <c r="O555" s="3">
        <v>2161070517</v>
      </c>
      <c r="P555" t="s">
        <v>20</v>
      </c>
      <c r="Q555">
        <v>3</v>
      </c>
      <c r="R555" t="s">
        <v>1963</v>
      </c>
    </row>
    <row r="556" spans="1:18" x14ac:dyDescent="0.35">
      <c r="A556" t="s">
        <v>585</v>
      </c>
      <c r="B556" t="s">
        <v>17</v>
      </c>
      <c r="C556" t="s">
        <v>62</v>
      </c>
      <c r="D556" t="s">
        <v>1933</v>
      </c>
      <c r="E556" s="3">
        <v>30</v>
      </c>
      <c r="F556" t="s">
        <v>1815</v>
      </c>
      <c r="G556" t="s">
        <v>1824</v>
      </c>
      <c r="H556" t="s">
        <v>23</v>
      </c>
      <c r="I556" s="1" t="s">
        <v>1539</v>
      </c>
      <c r="J556" s="7">
        <v>3</v>
      </c>
      <c r="K556" s="7">
        <v>2022</v>
      </c>
      <c r="L556" s="3">
        <v>104675.7</v>
      </c>
      <c r="M556" s="9" t="s">
        <v>1960</v>
      </c>
      <c r="N556" s="2" t="s">
        <v>1868</v>
      </c>
      <c r="O556" s="3">
        <v>4390552957</v>
      </c>
      <c r="P556" t="s">
        <v>27</v>
      </c>
      <c r="Q556">
        <v>1</v>
      </c>
      <c r="R556" t="s">
        <v>1962</v>
      </c>
    </row>
    <row r="557" spans="1:18" x14ac:dyDescent="0.35">
      <c r="A557" t="s">
        <v>586</v>
      </c>
      <c r="B557" t="s">
        <v>34</v>
      </c>
      <c r="C557" t="s">
        <v>29</v>
      </c>
      <c r="D557" t="s">
        <v>1909</v>
      </c>
      <c r="E557" s="3">
        <v>30</v>
      </c>
      <c r="F557" t="s">
        <v>1819</v>
      </c>
      <c r="G557" t="s">
        <v>1820</v>
      </c>
      <c r="H557" t="s">
        <v>19</v>
      </c>
      <c r="I557" s="1" t="s">
        <v>1540</v>
      </c>
      <c r="J557" s="7">
        <v>2</v>
      </c>
      <c r="K557" s="7">
        <v>2023</v>
      </c>
      <c r="L557" s="3">
        <v>92431.25</v>
      </c>
      <c r="M557" s="9" t="s">
        <v>1960</v>
      </c>
      <c r="N557" s="2" t="s">
        <v>1844</v>
      </c>
      <c r="O557" s="3">
        <v>660138240</v>
      </c>
      <c r="P557" t="s">
        <v>12</v>
      </c>
      <c r="Q557">
        <v>2</v>
      </c>
      <c r="R557" t="s">
        <v>1963</v>
      </c>
    </row>
    <row r="558" spans="1:18" x14ac:dyDescent="0.35">
      <c r="A558" t="s">
        <v>587</v>
      </c>
      <c r="B558" t="s">
        <v>42</v>
      </c>
      <c r="C558" t="s">
        <v>29</v>
      </c>
      <c r="D558" t="s">
        <v>1908</v>
      </c>
      <c r="E558" s="3">
        <v>40</v>
      </c>
      <c r="F558" t="s">
        <v>1821</v>
      </c>
      <c r="G558" t="s">
        <v>1818</v>
      </c>
      <c r="H558" t="s">
        <v>11</v>
      </c>
      <c r="I558" s="1" t="s">
        <v>1541</v>
      </c>
      <c r="J558" s="7">
        <v>4</v>
      </c>
      <c r="K558" s="7">
        <v>2021</v>
      </c>
      <c r="L558" s="3">
        <v>77850.899999999994</v>
      </c>
      <c r="M558" s="9" t="s">
        <v>1959</v>
      </c>
      <c r="N558" s="2" t="s">
        <v>1843</v>
      </c>
      <c r="O558" s="3">
        <v>2704938619</v>
      </c>
      <c r="P558" t="s">
        <v>12</v>
      </c>
      <c r="Q558">
        <v>2</v>
      </c>
      <c r="R558" t="s">
        <v>1962</v>
      </c>
    </row>
    <row r="559" spans="1:18" x14ac:dyDescent="0.35">
      <c r="A559" t="s">
        <v>588</v>
      </c>
      <c r="B559" t="s">
        <v>22</v>
      </c>
      <c r="C559" t="s">
        <v>50</v>
      </c>
      <c r="D559" t="s">
        <v>1943</v>
      </c>
      <c r="E559" s="3">
        <v>40</v>
      </c>
      <c r="F559" t="s">
        <v>1817</v>
      </c>
      <c r="G559" t="s">
        <v>1822</v>
      </c>
      <c r="H559" t="s">
        <v>23</v>
      </c>
      <c r="I559" s="1" t="s">
        <v>1542</v>
      </c>
      <c r="J559" s="7">
        <v>2</v>
      </c>
      <c r="K559" s="7">
        <v>2023</v>
      </c>
      <c r="L559" s="3">
        <v>99001</v>
      </c>
      <c r="M559" s="9" t="s">
        <v>1960</v>
      </c>
      <c r="N559" s="2" t="s">
        <v>1878</v>
      </c>
      <c r="O559" s="3">
        <v>4485157918</v>
      </c>
      <c r="P559" t="s">
        <v>20</v>
      </c>
      <c r="Q559">
        <v>3</v>
      </c>
      <c r="R559" t="s">
        <v>1962</v>
      </c>
    </row>
    <row r="560" spans="1:18" x14ac:dyDescent="0.35">
      <c r="A560" t="s">
        <v>589</v>
      </c>
      <c r="B560" t="s">
        <v>22</v>
      </c>
      <c r="C560" t="s">
        <v>29</v>
      </c>
      <c r="D560" t="s">
        <v>1946</v>
      </c>
      <c r="E560" s="3">
        <v>30</v>
      </c>
      <c r="F560" t="s">
        <v>1823</v>
      </c>
      <c r="G560" t="s">
        <v>1818</v>
      </c>
      <c r="H560" t="s">
        <v>19</v>
      </c>
      <c r="I560" s="1" t="s">
        <v>1477</v>
      </c>
      <c r="J560" s="7">
        <v>2</v>
      </c>
      <c r="K560" s="7">
        <v>2023</v>
      </c>
      <c r="L560" s="3">
        <v>94280.83</v>
      </c>
      <c r="M560" s="9" t="s">
        <v>1960</v>
      </c>
      <c r="N560" s="2" t="s">
        <v>1881</v>
      </c>
      <c r="O560" s="3">
        <v>7111212589</v>
      </c>
      <c r="P560" t="s">
        <v>20</v>
      </c>
      <c r="Q560">
        <v>3</v>
      </c>
      <c r="R560" t="s">
        <v>1962</v>
      </c>
    </row>
    <row r="561" spans="1:18" x14ac:dyDescent="0.35">
      <c r="A561" t="s">
        <v>590</v>
      </c>
      <c r="B561" t="s">
        <v>22</v>
      </c>
      <c r="C561" t="s">
        <v>50</v>
      </c>
      <c r="D561" t="s">
        <v>1943</v>
      </c>
      <c r="E561" s="3">
        <v>35</v>
      </c>
      <c r="F561" t="s">
        <v>1813</v>
      </c>
      <c r="G561" t="s">
        <v>1822</v>
      </c>
      <c r="H561" t="s">
        <v>19</v>
      </c>
      <c r="I561" s="1" t="s">
        <v>1543</v>
      </c>
      <c r="J561" s="7">
        <v>2</v>
      </c>
      <c r="K561" s="7">
        <v>2023</v>
      </c>
      <c r="L561" s="3">
        <v>118262.56</v>
      </c>
      <c r="M561" s="9" t="s">
        <v>1960</v>
      </c>
      <c r="N561" s="2" t="s">
        <v>1878</v>
      </c>
      <c r="O561" s="3">
        <v>2035713431</v>
      </c>
      <c r="P561" t="s">
        <v>12</v>
      </c>
      <c r="Q561">
        <v>2</v>
      </c>
      <c r="R561" t="s">
        <v>1962</v>
      </c>
    </row>
    <row r="562" spans="1:18" x14ac:dyDescent="0.35">
      <c r="A562" t="s">
        <v>591</v>
      </c>
      <c r="B562" t="s">
        <v>25</v>
      </c>
      <c r="C562" t="s">
        <v>14</v>
      </c>
      <c r="D562" t="s">
        <v>1940</v>
      </c>
      <c r="E562" s="3">
        <v>25</v>
      </c>
      <c r="F562" t="s">
        <v>1823</v>
      </c>
      <c r="G562" t="s">
        <v>1824</v>
      </c>
      <c r="H562" t="s">
        <v>23</v>
      </c>
      <c r="I562" s="1" t="s">
        <v>1544</v>
      </c>
      <c r="J562" s="7">
        <v>2</v>
      </c>
      <c r="K562" s="7">
        <v>2023</v>
      </c>
      <c r="L562" s="3">
        <v>89944.67</v>
      </c>
      <c r="M562" s="9" t="s">
        <v>1960</v>
      </c>
      <c r="N562" s="2" t="s">
        <v>1875</v>
      </c>
      <c r="O562" s="3">
        <v>4064242955</v>
      </c>
      <c r="P562" t="s">
        <v>27</v>
      </c>
      <c r="Q562">
        <v>1</v>
      </c>
      <c r="R562" t="s">
        <v>1963</v>
      </c>
    </row>
    <row r="563" spans="1:18" x14ac:dyDescent="0.35">
      <c r="A563" t="s">
        <v>592</v>
      </c>
      <c r="B563" t="s">
        <v>42</v>
      </c>
      <c r="C563" t="s">
        <v>26</v>
      </c>
      <c r="D563" t="s">
        <v>1905</v>
      </c>
      <c r="E563" s="3">
        <v>30</v>
      </c>
      <c r="F563" t="s">
        <v>1823</v>
      </c>
      <c r="G563" t="s">
        <v>1820</v>
      </c>
      <c r="H563" t="s">
        <v>11</v>
      </c>
      <c r="I563" s="1" t="s">
        <v>1545</v>
      </c>
      <c r="J563" s="7">
        <v>3</v>
      </c>
      <c r="K563" s="7">
        <v>2022</v>
      </c>
      <c r="L563" s="3">
        <v>57452.93</v>
      </c>
      <c r="M563" s="9" t="s">
        <v>1958</v>
      </c>
      <c r="N563" s="2" t="s">
        <v>1840</v>
      </c>
      <c r="O563" s="3">
        <v>3343244740</v>
      </c>
      <c r="P563" t="s">
        <v>20</v>
      </c>
      <c r="Q563">
        <v>3</v>
      </c>
      <c r="R563" t="s">
        <v>1962</v>
      </c>
    </row>
    <row r="564" spans="1:18" x14ac:dyDescent="0.35">
      <c r="A564" t="s">
        <v>593</v>
      </c>
      <c r="B564" t="s">
        <v>17</v>
      </c>
      <c r="C564" t="s">
        <v>10</v>
      </c>
      <c r="D564" t="s">
        <v>1928</v>
      </c>
      <c r="E564" s="3">
        <v>25</v>
      </c>
      <c r="F564" t="s">
        <v>1817</v>
      </c>
      <c r="G564" t="s">
        <v>1814</v>
      </c>
      <c r="H564" t="s">
        <v>11</v>
      </c>
      <c r="I564" s="1" t="s">
        <v>1546</v>
      </c>
      <c r="J564" s="7">
        <v>4</v>
      </c>
      <c r="K564" s="7">
        <v>2021</v>
      </c>
      <c r="L564" s="3">
        <v>97837.32</v>
      </c>
      <c r="M564" s="9" t="s">
        <v>1960</v>
      </c>
      <c r="N564" s="2" t="s">
        <v>1863</v>
      </c>
      <c r="O564" s="3">
        <v>7595587208</v>
      </c>
      <c r="P564" t="s">
        <v>15</v>
      </c>
      <c r="Q564">
        <v>4</v>
      </c>
      <c r="R564" t="s">
        <v>1963</v>
      </c>
    </row>
    <row r="565" spans="1:18" x14ac:dyDescent="0.35">
      <c r="A565" t="s">
        <v>594</v>
      </c>
      <c r="B565" t="s">
        <v>17</v>
      </c>
      <c r="C565" t="s">
        <v>10</v>
      </c>
      <c r="D565" t="s">
        <v>1928</v>
      </c>
      <c r="E565" s="3">
        <v>35</v>
      </c>
      <c r="F565" t="s">
        <v>1817</v>
      </c>
      <c r="G565" t="s">
        <v>1824</v>
      </c>
      <c r="H565" t="s">
        <v>11</v>
      </c>
      <c r="I565" s="1" t="s">
        <v>1455</v>
      </c>
      <c r="J565" s="7">
        <v>3</v>
      </c>
      <c r="K565" s="7">
        <v>2022</v>
      </c>
      <c r="L565" s="3">
        <v>106981.84</v>
      </c>
      <c r="M565" s="9" t="s">
        <v>1960</v>
      </c>
      <c r="N565" s="2" t="s">
        <v>1863</v>
      </c>
      <c r="O565" s="3">
        <v>6289365434</v>
      </c>
      <c r="P565" t="s">
        <v>27</v>
      </c>
      <c r="Q565">
        <v>1</v>
      </c>
      <c r="R565" t="s">
        <v>1962</v>
      </c>
    </row>
    <row r="566" spans="1:18" x14ac:dyDescent="0.35">
      <c r="A566" t="s">
        <v>595</v>
      </c>
      <c r="B566" t="s">
        <v>37</v>
      </c>
      <c r="C566" t="s">
        <v>14</v>
      </c>
      <c r="D566" t="s">
        <v>1938</v>
      </c>
      <c r="E566" s="3">
        <v>30</v>
      </c>
      <c r="F566" t="s">
        <v>1815</v>
      </c>
      <c r="G566" t="s">
        <v>1822</v>
      </c>
      <c r="H566" t="s">
        <v>19</v>
      </c>
      <c r="I566" s="1" t="s">
        <v>1547</v>
      </c>
      <c r="J566" s="7">
        <v>1</v>
      </c>
      <c r="K566" s="7">
        <v>2024</v>
      </c>
      <c r="L566" s="3">
        <v>105778.36</v>
      </c>
      <c r="M566" s="9" t="s">
        <v>1960</v>
      </c>
      <c r="N566" s="2" t="s">
        <v>1873</v>
      </c>
      <c r="O566" s="3">
        <v>8841834373</v>
      </c>
      <c r="P566" t="s">
        <v>20</v>
      </c>
      <c r="Q566">
        <v>3</v>
      </c>
      <c r="R566" t="s">
        <v>1962</v>
      </c>
    </row>
    <row r="567" spans="1:18" x14ac:dyDescent="0.35">
      <c r="A567" t="s">
        <v>596</v>
      </c>
      <c r="B567" t="s">
        <v>17</v>
      </c>
      <c r="C567" t="s">
        <v>35</v>
      </c>
      <c r="D567" t="s">
        <v>1925</v>
      </c>
      <c r="E567" s="3">
        <v>40</v>
      </c>
      <c r="F567" t="s">
        <v>1815</v>
      </c>
      <c r="G567" t="s">
        <v>1820</v>
      </c>
      <c r="H567" t="s">
        <v>19</v>
      </c>
      <c r="I567" s="1" t="s">
        <v>1213</v>
      </c>
      <c r="J567" s="7">
        <v>4</v>
      </c>
      <c r="K567" s="7">
        <v>2021</v>
      </c>
      <c r="L567" s="3">
        <v>117608.32000000001</v>
      </c>
      <c r="M567" s="9" t="s">
        <v>1960</v>
      </c>
      <c r="N567" s="2" t="s">
        <v>1860</v>
      </c>
      <c r="O567" s="3">
        <v>182727954</v>
      </c>
      <c r="P567" t="s">
        <v>20</v>
      </c>
      <c r="Q567">
        <v>3</v>
      </c>
      <c r="R567" t="s">
        <v>1962</v>
      </c>
    </row>
    <row r="568" spans="1:18" x14ac:dyDescent="0.35">
      <c r="A568" t="s">
        <v>597</v>
      </c>
      <c r="B568" t="s">
        <v>22</v>
      </c>
      <c r="C568" t="s">
        <v>35</v>
      </c>
      <c r="D568" t="s">
        <v>1948</v>
      </c>
      <c r="E568" s="3">
        <v>30</v>
      </c>
      <c r="F568" t="s">
        <v>1821</v>
      </c>
      <c r="G568" t="s">
        <v>1820</v>
      </c>
      <c r="H568" t="s">
        <v>11</v>
      </c>
      <c r="I568" s="1" t="s">
        <v>1548</v>
      </c>
      <c r="J568" s="7">
        <v>2</v>
      </c>
      <c r="K568" s="7">
        <v>2023</v>
      </c>
      <c r="L568" s="3">
        <v>99324.03</v>
      </c>
      <c r="M568" s="9" t="s">
        <v>1960</v>
      </c>
      <c r="N568" s="2" t="s">
        <v>1883</v>
      </c>
      <c r="O568" s="3">
        <v>9690515025</v>
      </c>
      <c r="P568" t="s">
        <v>15</v>
      </c>
      <c r="Q568">
        <v>4</v>
      </c>
      <c r="R568" t="s">
        <v>1963</v>
      </c>
    </row>
    <row r="569" spans="1:18" x14ac:dyDescent="0.35">
      <c r="A569" t="s">
        <v>598</v>
      </c>
      <c r="B569" t="s">
        <v>37</v>
      </c>
      <c r="C569" t="s">
        <v>29</v>
      </c>
      <c r="D569" t="s">
        <v>1912</v>
      </c>
      <c r="E569" s="3">
        <v>30</v>
      </c>
      <c r="F569" t="s">
        <v>1823</v>
      </c>
      <c r="G569" t="s">
        <v>1820</v>
      </c>
      <c r="H569" t="s">
        <v>11</v>
      </c>
      <c r="I569" s="1" t="s">
        <v>1549</v>
      </c>
      <c r="J569" s="7">
        <v>2</v>
      </c>
      <c r="K569" s="7">
        <v>2023</v>
      </c>
      <c r="L569" s="3">
        <v>55212.83</v>
      </c>
      <c r="M569" s="9" t="s">
        <v>1958</v>
      </c>
      <c r="N569" s="2" t="s">
        <v>1847</v>
      </c>
      <c r="O569" s="3">
        <v>7551254277</v>
      </c>
      <c r="P569" t="s">
        <v>15</v>
      </c>
      <c r="Q569">
        <v>4</v>
      </c>
      <c r="R569" t="s">
        <v>1962</v>
      </c>
    </row>
    <row r="570" spans="1:18" x14ac:dyDescent="0.35">
      <c r="A570" t="s">
        <v>599</v>
      </c>
      <c r="B570" t="s">
        <v>9</v>
      </c>
      <c r="C570" t="s">
        <v>10</v>
      </c>
      <c r="D570" t="s">
        <v>1892</v>
      </c>
      <c r="E570" s="3">
        <v>40</v>
      </c>
      <c r="F570" t="s">
        <v>1819</v>
      </c>
      <c r="G570" t="s">
        <v>1820</v>
      </c>
      <c r="H570" t="s">
        <v>23</v>
      </c>
      <c r="I570" s="1" t="s">
        <v>1550</v>
      </c>
      <c r="J570" s="7">
        <v>2</v>
      </c>
      <c r="K570" s="7">
        <v>2023</v>
      </c>
      <c r="L570" s="3">
        <v>68496.77</v>
      </c>
      <c r="M570" s="9" t="s">
        <v>1959</v>
      </c>
      <c r="N570" s="2" t="s">
        <v>1827</v>
      </c>
      <c r="O570" s="3">
        <v>2079799666</v>
      </c>
      <c r="P570" t="s">
        <v>12</v>
      </c>
      <c r="Q570">
        <v>2</v>
      </c>
      <c r="R570" t="s">
        <v>1963</v>
      </c>
    </row>
    <row r="571" spans="1:18" x14ac:dyDescent="0.35">
      <c r="A571" t="s">
        <v>600</v>
      </c>
      <c r="B571" t="s">
        <v>22</v>
      </c>
      <c r="C571" t="s">
        <v>10</v>
      </c>
      <c r="D571" t="s">
        <v>1895</v>
      </c>
      <c r="E571" s="3">
        <v>25</v>
      </c>
      <c r="F571" t="s">
        <v>1823</v>
      </c>
      <c r="G571" t="s">
        <v>1820</v>
      </c>
      <c r="H571" t="s">
        <v>19</v>
      </c>
      <c r="I571" s="1" t="s">
        <v>1339</v>
      </c>
      <c r="J571" s="7">
        <v>5</v>
      </c>
      <c r="K571" s="7">
        <v>2020</v>
      </c>
      <c r="L571" s="3">
        <v>52795.839999999997</v>
      </c>
      <c r="M571" s="9" t="s">
        <v>1958</v>
      </c>
      <c r="N571" s="2" t="s">
        <v>1830</v>
      </c>
      <c r="O571" s="3">
        <v>3459576402</v>
      </c>
      <c r="P571" t="s">
        <v>27</v>
      </c>
      <c r="Q571">
        <v>1</v>
      </c>
      <c r="R571" t="s">
        <v>1963</v>
      </c>
    </row>
    <row r="572" spans="1:18" x14ac:dyDescent="0.35">
      <c r="A572" t="s">
        <v>601</v>
      </c>
      <c r="B572" t="s">
        <v>17</v>
      </c>
      <c r="C572" t="s">
        <v>50</v>
      </c>
      <c r="D572" t="s">
        <v>1929</v>
      </c>
      <c r="E572" s="3">
        <v>30</v>
      </c>
      <c r="F572" t="s">
        <v>1813</v>
      </c>
      <c r="G572" t="s">
        <v>1814</v>
      </c>
      <c r="H572" t="s">
        <v>23</v>
      </c>
      <c r="I572" s="1" t="s">
        <v>1206</v>
      </c>
      <c r="J572" s="7">
        <v>1</v>
      </c>
      <c r="K572" s="7">
        <v>2024</v>
      </c>
      <c r="L572" s="3">
        <v>90087.39</v>
      </c>
      <c r="M572" s="9" t="s">
        <v>1960</v>
      </c>
      <c r="N572" s="2" t="s">
        <v>1864</v>
      </c>
      <c r="O572" s="3">
        <v>8166496901</v>
      </c>
      <c r="P572" t="s">
        <v>27</v>
      </c>
      <c r="Q572">
        <v>1</v>
      </c>
      <c r="R572" t="s">
        <v>1963</v>
      </c>
    </row>
    <row r="573" spans="1:18" x14ac:dyDescent="0.35">
      <c r="A573" t="s">
        <v>602</v>
      </c>
      <c r="B573" t="s">
        <v>25</v>
      </c>
      <c r="C573" t="s">
        <v>26</v>
      </c>
      <c r="D573" t="s">
        <v>1896</v>
      </c>
      <c r="E573" s="3">
        <v>30</v>
      </c>
      <c r="F573" t="s">
        <v>1817</v>
      </c>
      <c r="G573" t="s">
        <v>1822</v>
      </c>
      <c r="H573" t="s">
        <v>19</v>
      </c>
      <c r="I573" s="1" t="s">
        <v>1551</v>
      </c>
      <c r="J573" s="7">
        <v>5</v>
      </c>
      <c r="K573" s="7">
        <v>2020</v>
      </c>
      <c r="L573" s="3">
        <v>105038.08</v>
      </c>
      <c r="M573" s="9" t="s">
        <v>1960</v>
      </c>
      <c r="N573" s="2" t="s">
        <v>1831</v>
      </c>
      <c r="O573" s="3">
        <v>8249839224</v>
      </c>
      <c r="P573" t="s">
        <v>12</v>
      </c>
      <c r="Q573">
        <v>2</v>
      </c>
      <c r="R573" t="s">
        <v>1963</v>
      </c>
    </row>
    <row r="574" spans="1:18" x14ac:dyDescent="0.35">
      <c r="A574" t="s">
        <v>603</v>
      </c>
      <c r="B574" t="s">
        <v>42</v>
      </c>
      <c r="C574" t="s">
        <v>62</v>
      </c>
      <c r="D574" t="s">
        <v>1921</v>
      </c>
      <c r="E574" s="3">
        <v>25</v>
      </c>
      <c r="F574" t="s">
        <v>1823</v>
      </c>
      <c r="G574" t="s">
        <v>1822</v>
      </c>
      <c r="H574" t="s">
        <v>11</v>
      </c>
      <c r="I574" s="1" t="s">
        <v>1552</v>
      </c>
      <c r="J574" s="7">
        <v>2</v>
      </c>
      <c r="K574" s="7">
        <v>2023</v>
      </c>
      <c r="L574" s="3">
        <v>73231.850000000006</v>
      </c>
      <c r="M574" s="9" t="s">
        <v>1959</v>
      </c>
      <c r="N574" s="2" t="s">
        <v>1856</v>
      </c>
      <c r="O574" s="3">
        <v>142576269</v>
      </c>
      <c r="P574" t="s">
        <v>27</v>
      </c>
      <c r="Q574">
        <v>1</v>
      </c>
      <c r="R574" t="s">
        <v>1963</v>
      </c>
    </row>
    <row r="575" spans="1:18" x14ac:dyDescent="0.35">
      <c r="A575" t="s">
        <v>604</v>
      </c>
      <c r="B575" t="s">
        <v>37</v>
      </c>
      <c r="C575" t="s">
        <v>35</v>
      </c>
      <c r="D575" t="s">
        <v>1937</v>
      </c>
      <c r="E575" s="3">
        <v>30</v>
      </c>
      <c r="F575" t="s">
        <v>1821</v>
      </c>
      <c r="G575" t="s">
        <v>1820</v>
      </c>
      <c r="H575" t="s">
        <v>19</v>
      </c>
      <c r="I575" s="1" t="s">
        <v>1553</v>
      </c>
      <c r="J575" s="7">
        <v>1</v>
      </c>
      <c r="K575" s="7">
        <v>2024</v>
      </c>
      <c r="L575" s="3">
        <v>102649.36</v>
      </c>
      <c r="M575" s="9" t="s">
        <v>1960</v>
      </c>
      <c r="N575" s="2" t="s">
        <v>1872</v>
      </c>
      <c r="O575" s="3">
        <v>2324412335</v>
      </c>
      <c r="P575" t="s">
        <v>27</v>
      </c>
      <c r="Q575">
        <v>1</v>
      </c>
      <c r="R575" t="s">
        <v>1963</v>
      </c>
    </row>
    <row r="576" spans="1:18" x14ac:dyDescent="0.35">
      <c r="A576" t="s">
        <v>605</v>
      </c>
      <c r="B576" t="s">
        <v>9</v>
      </c>
      <c r="C576" t="s">
        <v>10</v>
      </c>
      <c r="D576" t="s">
        <v>1892</v>
      </c>
      <c r="E576" s="3">
        <v>35</v>
      </c>
      <c r="F576" t="s">
        <v>1815</v>
      </c>
      <c r="G576" t="s">
        <v>1822</v>
      </c>
      <c r="H576" t="s">
        <v>19</v>
      </c>
      <c r="I576" s="1" t="s">
        <v>1554</v>
      </c>
      <c r="J576" s="7">
        <v>2</v>
      </c>
      <c r="K576" s="7">
        <v>2023</v>
      </c>
      <c r="L576" s="3">
        <v>114302.51</v>
      </c>
      <c r="M576" s="9" t="s">
        <v>1960</v>
      </c>
      <c r="N576" s="2" t="s">
        <v>1827</v>
      </c>
      <c r="O576" s="3">
        <v>1328507250</v>
      </c>
      <c r="P576" t="s">
        <v>27</v>
      </c>
      <c r="Q576">
        <v>1</v>
      </c>
      <c r="R576" t="s">
        <v>1963</v>
      </c>
    </row>
    <row r="577" spans="1:18" x14ac:dyDescent="0.35">
      <c r="A577" t="s">
        <v>606</v>
      </c>
      <c r="B577" t="s">
        <v>17</v>
      </c>
      <c r="C577" t="s">
        <v>50</v>
      </c>
      <c r="D577" t="s">
        <v>1929</v>
      </c>
      <c r="E577" s="3">
        <v>35</v>
      </c>
      <c r="F577" t="s">
        <v>1815</v>
      </c>
      <c r="G577" t="s">
        <v>1816</v>
      </c>
      <c r="H577" t="s">
        <v>23</v>
      </c>
      <c r="I577" s="1" t="s">
        <v>1555</v>
      </c>
      <c r="J577" s="7">
        <v>4</v>
      </c>
      <c r="K577" s="7">
        <v>2021</v>
      </c>
      <c r="L577" s="3">
        <v>87816.61</v>
      </c>
      <c r="M577" s="9" t="s">
        <v>1960</v>
      </c>
      <c r="N577" s="2" t="s">
        <v>1864</v>
      </c>
      <c r="O577" s="3">
        <v>7863767315</v>
      </c>
      <c r="P577" t="s">
        <v>27</v>
      </c>
      <c r="Q577">
        <v>1</v>
      </c>
      <c r="R577" t="s">
        <v>1963</v>
      </c>
    </row>
    <row r="578" spans="1:18" x14ac:dyDescent="0.35">
      <c r="A578" t="s">
        <v>607</v>
      </c>
      <c r="B578" t="s">
        <v>25</v>
      </c>
      <c r="C578" t="s">
        <v>18</v>
      </c>
      <c r="D578" t="s">
        <v>1898</v>
      </c>
      <c r="E578" s="3">
        <v>30</v>
      </c>
      <c r="F578" t="s">
        <v>1821</v>
      </c>
      <c r="G578" t="s">
        <v>1820</v>
      </c>
      <c r="H578" t="s">
        <v>23</v>
      </c>
      <c r="I578" s="1" t="s">
        <v>1176</v>
      </c>
      <c r="J578" s="7">
        <v>5</v>
      </c>
      <c r="K578" s="7">
        <v>2020</v>
      </c>
      <c r="L578" s="3">
        <v>70750.38</v>
      </c>
      <c r="M578" s="9" t="s">
        <v>1959</v>
      </c>
      <c r="N578" s="2" t="s">
        <v>1833</v>
      </c>
      <c r="O578" s="3">
        <v>2526546967</v>
      </c>
      <c r="P578" t="s">
        <v>27</v>
      </c>
      <c r="Q578">
        <v>1</v>
      </c>
      <c r="R578" t="s">
        <v>1963</v>
      </c>
    </row>
    <row r="579" spans="1:18" x14ac:dyDescent="0.35">
      <c r="A579" t="s">
        <v>608</v>
      </c>
      <c r="B579" t="s">
        <v>25</v>
      </c>
      <c r="C579" t="s">
        <v>50</v>
      </c>
      <c r="D579" t="s">
        <v>1914</v>
      </c>
      <c r="E579" s="3">
        <v>30</v>
      </c>
      <c r="F579" t="s">
        <v>1819</v>
      </c>
      <c r="G579" t="s">
        <v>1816</v>
      </c>
      <c r="H579" t="s">
        <v>11</v>
      </c>
      <c r="I579" s="1" t="s">
        <v>1556</v>
      </c>
      <c r="J579" s="7">
        <v>1</v>
      </c>
      <c r="K579" s="7">
        <v>2024</v>
      </c>
      <c r="L579" s="3">
        <v>0</v>
      </c>
      <c r="M579" s="9" t="s">
        <v>1958</v>
      </c>
      <c r="N579" s="2" t="s">
        <v>1849</v>
      </c>
      <c r="O579" s="3">
        <v>1579039234</v>
      </c>
      <c r="P579" t="s">
        <v>15</v>
      </c>
      <c r="Q579">
        <v>4</v>
      </c>
      <c r="R579" t="s">
        <v>1962</v>
      </c>
    </row>
    <row r="580" spans="1:18" x14ac:dyDescent="0.35">
      <c r="A580" t="s">
        <v>609</v>
      </c>
      <c r="B580" t="s">
        <v>9</v>
      </c>
      <c r="C580" t="s">
        <v>35</v>
      </c>
      <c r="D580" t="s">
        <v>1935</v>
      </c>
      <c r="E580" s="3">
        <v>30</v>
      </c>
      <c r="F580" t="s">
        <v>1813</v>
      </c>
      <c r="G580" t="s">
        <v>1818</v>
      </c>
      <c r="H580" t="s">
        <v>11</v>
      </c>
      <c r="I580" s="1" t="s">
        <v>1557</v>
      </c>
      <c r="J580" s="7">
        <v>1</v>
      </c>
      <c r="K580" s="7">
        <v>2024</v>
      </c>
      <c r="L580" s="3">
        <v>97978.36</v>
      </c>
      <c r="M580" s="9" t="s">
        <v>1960</v>
      </c>
      <c r="N580" s="2" t="s">
        <v>1870</v>
      </c>
      <c r="O580" s="3">
        <v>5580996131</v>
      </c>
      <c r="P580" t="s">
        <v>27</v>
      </c>
      <c r="Q580">
        <v>1</v>
      </c>
      <c r="R580" t="s">
        <v>1962</v>
      </c>
    </row>
    <row r="581" spans="1:18" x14ac:dyDescent="0.35">
      <c r="A581" t="s">
        <v>610</v>
      </c>
      <c r="B581" t="s">
        <v>37</v>
      </c>
      <c r="C581" t="s">
        <v>35</v>
      </c>
      <c r="D581" t="s">
        <v>1937</v>
      </c>
      <c r="E581" s="3">
        <v>30</v>
      </c>
      <c r="F581" t="s">
        <v>1813</v>
      </c>
      <c r="G581" t="s">
        <v>1818</v>
      </c>
      <c r="H581" t="s">
        <v>23</v>
      </c>
      <c r="I581" s="1" t="s">
        <v>1558</v>
      </c>
      <c r="J581" s="7">
        <v>2</v>
      </c>
      <c r="K581" s="7">
        <v>2023</v>
      </c>
      <c r="L581" s="3">
        <v>107172.8</v>
      </c>
      <c r="M581" s="9" t="s">
        <v>1960</v>
      </c>
      <c r="N581" s="2" t="s">
        <v>1872</v>
      </c>
      <c r="O581" s="3">
        <v>7303461561</v>
      </c>
      <c r="P581" t="s">
        <v>15</v>
      </c>
      <c r="Q581">
        <v>4</v>
      </c>
      <c r="R581" t="s">
        <v>1962</v>
      </c>
    </row>
    <row r="582" spans="1:18" x14ac:dyDescent="0.35">
      <c r="A582" t="s">
        <v>611</v>
      </c>
      <c r="B582" t="s">
        <v>34</v>
      </c>
      <c r="C582" t="s">
        <v>50</v>
      </c>
      <c r="D582" t="s">
        <v>1954</v>
      </c>
      <c r="E582" s="3">
        <v>25</v>
      </c>
      <c r="F582" t="s">
        <v>1815</v>
      </c>
      <c r="G582" t="s">
        <v>1818</v>
      </c>
      <c r="H582" t="s">
        <v>23</v>
      </c>
      <c r="I582" s="1" t="s">
        <v>1457</v>
      </c>
      <c r="J582" s="7">
        <v>5</v>
      </c>
      <c r="K582" s="7">
        <v>2020</v>
      </c>
      <c r="L582" s="3">
        <v>56126.46</v>
      </c>
      <c r="M582" s="9" t="s">
        <v>1958</v>
      </c>
      <c r="N582" s="2" t="s">
        <v>1889</v>
      </c>
      <c r="O582" s="3">
        <v>6244670461</v>
      </c>
      <c r="P582" t="s">
        <v>27</v>
      </c>
      <c r="Q582">
        <v>1</v>
      </c>
      <c r="R582" t="s">
        <v>1962</v>
      </c>
    </row>
    <row r="583" spans="1:18" x14ac:dyDescent="0.35">
      <c r="A583" t="s">
        <v>612</v>
      </c>
      <c r="B583" t="s">
        <v>22</v>
      </c>
      <c r="C583" t="s">
        <v>62</v>
      </c>
      <c r="D583" t="s">
        <v>1955</v>
      </c>
      <c r="E583" s="3">
        <v>30</v>
      </c>
      <c r="F583" t="s">
        <v>1819</v>
      </c>
      <c r="G583" t="s">
        <v>1824</v>
      </c>
      <c r="H583" t="s">
        <v>11</v>
      </c>
      <c r="I583" s="1" t="s">
        <v>1559</v>
      </c>
      <c r="J583" s="7">
        <v>4</v>
      </c>
      <c r="K583" s="7">
        <v>2021</v>
      </c>
      <c r="L583" s="3">
        <v>78534.289999999994</v>
      </c>
      <c r="M583" s="9" t="s">
        <v>1959</v>
      </c>
      <c r="N583" s="2" t="s">
        <v>1890</v>
      </c>
      <c r="O583" s="3">
        <v>2681715159</v>
      </c>
      <c r="P583" t="s">
        <v>12</v>
      </c>
      <c r="Q583">
        <v>2</v>
      </c>
      <c r="R583" t="s">
        <v>1962</v>
      </c>
    </row>
    <row r="584" spans="1:18" x14ac:dyDescent="0.35">
      <c r="A584" t="s">
        <v>613</v>
      </c>
      <c r="B584" t="s">
        <v>42</v>
      </c>
      <c r="C584" t="s">
        <v>14</v>
      </c>
      <c r="D584" t="s">
        <v>1936</v>
      </c>
      <c r="E584" s="3">
        <v>40</v>
      </c>
      <c r="F584" t="s">
        <v>1823</v>
      </c>
      <c r="G584" t="s">
        <v>1816</v>
      </c>
      <c r="H584" t="s">
        <v>23</v>
      </c>
      <c r="I584" s="1" t="s">
        <v>1560</v>
      </c>
      <c r="J584" s="7">
        <v>2</v>
      </c>
      <c r="K584" s="7">
        <v>2023</v>
      </c>
      <c r="L584" s="3">
        <v>0</v>
      </c>
      <c r="M584" s="9" t="s">
        <v>1958</v>
      </c>
      <c r="N584" s="2" t="s">
        <v>1871</v>
      </c>
      <c r="O584" s="3">
        <v>2529867075</v>
      </c>
      <c r="P584" t="s">
        <v>20</v>
      </c>
      <c r="Q584">
        <v>3</v>
      </c>
      <c r="R584" t="s">
        <v>1963</v>
      </c>
    </row>
    <row r="585" spans="1:18" x14ac:dyDescent="0.35">
      <c r="A585" t="s">
        <v>614</v>
      </c>
      <c r="B585" t="s">
        <v>9</v>
      </c>
      <c r="C585" t="s">
        <v>35</v>
      </c>
      <c r="D585" t="s">
        <v>1935</v>
      </c>
      <c r="E585" s="3">
        <v>30</v>
      </c>
      <c r="F585" t="s">
        <v>1819</v>
      </c>
      <c r="G585" t="s">
        <v>1818</v>
      </c>
      <c r="H585" t="s">
        <v>11</v>
      </c>
      <c r="I585" s="1" t="s">
        <v>1561</v>
      </c>
      <c r="J585" s="7">
        <v>3</v>
      </c>
      <c r="K585" s="7">
        <v>2022</v>
      </c>
      <c r="L585" s="3">
        <v>114963.34</v>
      </c>
      <c r="M585" s="9" t="s">
        <v>1960</v>
      </c>
      <c r="N585" s="2" t="s">
        <v>1870</v>
      </c>
      <c r="O585" s="3">
        <v>6046419784</v>
      </c>
      <c r="P585" t="s">
        <v>15</v>
      </c>
      <c r="Q585">
        <v>4</v>
      </c>
      <c r="R585" t="s">
        <v>1963</v>
      </c>
    </row>
    <row r="586" spans="1:18" x14ac:dyDescent="0.35">
      <c r="A586" t="s">
        <v>615</v>
      </c>
      <c r="B586" t="s">
        <v>22</v>
      </c>
      <c r="C586" t="s">
        <v>50</v>
      </c>
      <c r="D586" t="s">
        <v>1943</v>
      </c>
      <c r="E586" s="3">
        <v>30</v>
      </c>
      <c r="F586" t="s">
        <v>1819</v>
      </c>
      <c r="G586" t="s">
        <v>1814</v>
      </c>
      <c r="H586" t="s">
        <v>23</v>
      </c>
      <c r="I586" s="1" t="s">
        <v>1562</v>
      </c>
      <c r="J586" s="7">
        <v>3</v>
      </c>
      <c r="K586" s="7">
        <v>2022</v>
      </c>
      <c r="L586" s="3">
        <v>77657.929999999993</v>
      </c>
      <c r="M586" s="9" t="s">
        <v>1959</v>
      </c>
      <c r="N586" s="2" t="s">
        <v>1878</v>
      </c>
      <c r="O586" s="3">
        <v>7585126860</v>
      </c>
      <c r="P586" t="s">
        <v>27</v>
      </c>
      <c r="Q586">
        <v>1</v>
      </c>
      <c r="R586" t="s">
        <v>1963</v>
      </c>
    </row>
    <row r="587" spans="1:18" x14ac:dyDescent="0.35">
      <c r="A587" t="s">
        <v>616</v>
      </c>
      <c r="B587" t="s">
        <v>40</v>
      </c>
      <c r="C587" t="s">
        <v>10</v>
      </c>
      <c r="D587" t="s">
        <v>1952</v>
      </c>
      <c r="E587" s="3">
        <v>30</v>
      </c>
      <c r="F587" t="s">
        <v>1821</v>
      </c>
      <c r="G587" t="s">
        <v>1822</v>
      </c>
      <c r="H587" t="s">
        <v>11</v>
      </c>
      <c r="I587" s="1" t="s">
        <v>1563</v>
      </c>
      <c r="J587" s="7">
        <v>1</v>
      </c>
      <c r="K587" s="7">
        <v>2024</v>
      </c>
      <c r="L587" s="3">
        <v>77369.48</v>
      </c>
      <c r="M587" s="9" t="s">
        <v>1959</v>
      </c>
      <c r="N587" s="2" t="s">
        <v>1887</v>
      </c>
      <c r="O587" s="3">
        <v>2059438975</v>
      </c>
      <c r="P587" t="s">
        <v>12</v>
      </c>
      <c r="Q587">
        <v>2</v>
      </c>
      <c r="R587" t="s">
        <v>1963</v>
      </c>
    </row>
    <row r="588" spans="1:18" x14ac:dyDescent="0.35">
      <c r="A588" t="s">
        <v>617</v>
      </c>
      <c r="B588" t="s">
        <v>22</v>
      </c>
      <c r="C588" t="s">
        <v>50</v>
      </c>
      <c r="D588" t="s">
        <v>1943</v>
      </c>
      <c r="E588" s="3">
        <v>30</v>
      </c>
      <c r="F588" t="s">
        <v>1823</v>
      </c>
      <c r="G588" t="s">
        <v>1818</v>
      </c>
      <c r="H588" t="s">
        <v>19</v>
      </c>
      <c r="I588" s="1" t="s">
        <v>1564</v>
      </c>
      <c r="J588" s="7">
        <v>2</v>
      </c>
      <c r="K588" s="7">
        <v>2023</v>
      </c>
      <c r="L588" s="3">
        <v>76119.14</v>
      </c>
      <c r="M588" s="9" t="s">
        <v>1959</v>
      </c>
      <c r="N588" s="2" t="s">
        <v>1878</v>
      </c>
      <c r="O588" s="3">
        <v>740177508</v>
      </c>
      <c r="P588" t="s">
        <v>20</v>
      </c>
      <c r="Q588">
        <v>3</v>
      </c>
      <c r="R588" t="s">
        <v>1963</v>
      </c>
    </row>
    <row r="589" spans="1:18" x14ac:dyDescent="0.35">
      <c r="A589" t="s">
        <v>618</v>
      </c>
      <c r="B589" t="s">
        <v>34</v>
      </c>
      <c r="C589" t="s">
        <v>26</v>
      </c>
      <c r="D589" t="s">
        <v>1910</v>
      </c>
      <c r="E589" s="3">
        <v>25</v>
      </c>
      <c r="F589" t="s">
        <v>1819</v>
      </c>
      <c r="G589" t="s">
        <v>1816</v>
      </c>
      <c r="H589" t="s">
        <v>19</v>
      </c>
      <c r="I589" s="1" t="s">
        <v>1222</v>
      </c>
      <c r="J589" s="7">
        <v>2</v>
      </c>
      <c r="K589" s="7">
        <v>2023</v>
      </c>
      <c r="L589" s="3">
        <v>77585.72</v>
      </c>
      <c r="M589" s="9" t="s">
        <v>1959</v>
      </c>
      <c r="N589" s="2" t="s">
        <v>1845</v>
      </c>
      <c r="O589" s="3">
        <v>5465408423</v>
      </c>
      <c r="P589" t="s">
        <v>15</v>
      </c>
      <c r="Q589">
        <v>4</v>
      </c>
      <c r="R589" t="s">
        <v>1963</v>
      </c>
    </row>
    <row r="590" spans="1:18" x14ac:dyDescent="0.35">
      <c r="A590" t="s">
        <v>619</v>
      </c>
      <c r="B590" t="s">
        <v>9</v>
      </c>
      <c r="C590" t="s">
        <v>14</v>
      </c>
      <c r="D590" t="s">
        <v>1893</v>
      </c>
      <c r="E590" s="3">
        <v>35</v>
      </c>
      <c r="F590" t="s">
        <v>1817</v>
      </c>
      <c r="G590" t="s">
        <v>1818</v>
      </c>
      <c r="H590" t="s">
        <v>19</v>
      </c>
      <c r="I590" s="1" t="s">
        <v>1565</v>
      </c>
      <c r="J590" s="7">
        <v>1</v>
      </c>
      <c r="K590" s="7">
        <v>2024</v>
      </c>
      <c r="L590" s="3">
        <v>74069.62</v>
      </c>
      <c r="M590" s="9" t="s">
        <v>1959</v>
      </c>
      <c r="N590" s="2" t="s">
        <v>1828</v>
      </c>
      <c r="O590" s="3">
        <v>5607540914</v>
      </c>
      <c r="P590" t="s">
        <v>20</v>
      </c>
      <c r="Q590">
        <v>3</v>
      </c>
      <c r="R590" t="s">
        <v>1963</v>
      </c>
    </row>
    <row r="591" spans="1:18" x14ac:dyDescent="0.35">
      <c r="A591" t="s">
        <v>620</v>
      </c>
      <c r="B591" t="s">
        <v>34</v>
      </c>
      <c r="C591" t="s">
        <v>18</v>
      </c>
      <c r="D591" t="s">
        <v>1916</v>
      </c>
      <c r="E591" s="3">
        <v>30</v>
      </c>
      <c r="F591" t="s">
        <v>1817</v>
      </c>
      <c r="G591" t="s">
        <v>1822</v>
      </c>
      <c r="H591" t="s">
        <v>19</v>
      </c>
      <c r="I591" s="1" t="s">
        <v>1171</v>
      </c>
      <c r="J591" s="7">
        <v>1</v>
      </c>
      <c r="K591" s="7">
        <v>2024</v>
      </c>
      <c r="L591" s="3">
        <v>67691.92</v>
      </c>
      <c r="M591" s="9" t="s">
        <v>1959</v>
      </c>
      <c r="N591" s="2" t="s">
        <v>1851</v>
      </c>
      <c r="O591" s="3">
        <v>863218121</v>
      </c>
      <c r="P591" t="s">
        <v>12</v>
      </c>
      <c r="Q591">
        <v>2</v>
      </c>
      <c r="R591" t="s">
        <v>1962</v>
      </c>
    </row>
    <row r="592" spans="1:18" x14ac:dyDescent="0.35">
      <c r="A592" t="s">
        <v>621</v>
      </c>
      <c r="B592" t="s">
        <v>17</v>
      </c>
      <c r="C592" t="s">
        <v>62</v>
      </c>
      <c r="D592" t="s">
        <v>1933</v>
      </c>
      <c r="E592" s="3">
        <v>30</v>
      </c>
      <c r="F592" t="s">
        <v>1815</v>
      </c>
      <c r="G592" t="s">
        <v>1818</v>
      </c>
      <c r="H592" t="s">
        <v>19</v>
      </c>
      <c r="I592" s="1" t="s">
        <v>1566</v>
      </c>
      <c r="J592" s="7">
        <v>5</v>
      </c>
      <c r="K592" s="7">
        <v>2020</v>
      </c>
      <c r="L592" s="3">
        <v>70345.69</v>
      </c>
      <c r="M592" s="9" t="s">
        <v>1959</v>
      </c>
      <c r="N592" s="2" t="s">
        <v>1868</v>
      </c>
      <c r="O592" s="3">
        <v>7645793896</v>
      </c>
      <c r="P592" t="s">
        <v>15</v>
      </c>
      <c r="Q592">
        <v>4</v>
      </c>
      <c r="R592" t="s">
        <v>1962</v>
      </c>
    </row>
    <row r="593" spans="1:18" x14ac:dyDescent="0.35">
      <c r="A593" t="s">
        <v>622</v>
      </c>
      <c r="B593" t="s">
        <v>9</v>
      </c>
      <c r="C593" t="s">
        <v>29</v>
      </c>
      <c r="D593" t="s">
        <v>1926</v>
      </c>
      <c r="E593" s="3">
        <v>30</v>
      </c>
      <c r="F593" t="s">
        <v>1813</v>
      </c>
      <c r="G593" t="s">
        <v>1824</v>
      </c>
      <c r="H593" t="s">
        <v>23</v>
      </c>
      <c r="I593" s="1" t="s">
        <v>1394</v>
      </c>
      <c r="J593" s="7">
        <v>4</v>
      </c>
      <c r="K593" s="7">
        <v>2021</v>
      </c>
      <c r="L593" s="3">
        <v>74999.69</v>
      </c>
      <c r="M593" s="9" t="s">
        <v>1959</v>
      </c>
      <c r="N593" s="2" t="s">
        <v>1861</v>
      </c>
      <c r="O593" s="3">
        <v>155029167</v>
      </c>
      <c r="P593" t="s">
        <v>20</v>
      </c>
      <c r="Q593">
        <v>3</v>
      </c>
      <c r="R593" t="s">
        <v>1962</v>
      </c>
    </row>
    <row r="594" spans="1:18" x14ac:dyDescent="0.35">
      <c r="A594" t="s">
        <v>623</v>
      </c>
      <c r="B594" t="s">
        <v>37</v>
      </c>
      <c r="C594" t="s">
        <v>18</v>
      </c>
      <c r="D594" t="s">
        <v>1941</v>
      </c>
      <c r="E594" s="3">
        <v>25</v>
      </c>
      <c r="F594" t="s">
        <v>1823</v>
      </c>
      <c r="G594" t="s">
        <v>1824</v>
      </c>
      <c r="H594" t="s">
        <v>11</v>
      </c>
      <c r="I594" s="1" t="s">
        <v>1567</v>
      </c>
      <c r="J594" s="7">
        <v>4</v>
      </c>
      <c r="K594" s="7">
        <v>2021</v>
      </c>
      <c r="L594" s="3">
        <v>72245.02</v>
      </c>
      <c r="M594" s="9" t="s">
        <v>1959</v>
      </c>
      <c r="N594" s="2" t="s">
        <v>1876</v>
      </c>
      <c r="O594" s="3">
        <v>1546602415</v>
      </c>
      <c r="P594" t="s">
        <v>27</v>
      </c>
      <c r="Q594">
        <v>1</v>
      </c>
      <c r="R594" t="s">
        <v>1962</v>
      </c>
    </row>
    <row r="595" spans="1:18" x14ac:dyDescent="0.35">
      <c r="A595" t="s">
        <v>624</v>
      </c>
      <c r="B595" t="s">
        <v>22</v>
      </c>
      <c r="C595" t="s">
        <v>14</v>
      </c>
      <c r="D595" t="s">
        <v>1927</v>
      </c>
      <c r="E595" s="3">
        <v>30</v>
      </c>
      <c r="F595" t="s">
        <v>1817</v>
      </c>
      <c r="G595" t="s">
        <v>1824</v>
      </c>
      <c r="H595" t="s">
        <v>19</v>
      </c>
      <c r="I595" s="1" t="s">
        <v>1568</v>
      </c>
      <c r="J595" s="7">
        <v>3</v>
      </c>
      <c r="K595" s="7">
        <v>2022</v>
      </c>
      <c r="L595" s="3">
        <v>106538.98</v>
      </c>
      <c r="M595" s="9" t="s">
        <v>1960</v>
      </c>
      <c r="N595" s="2" t="s">
        <v>1862</v>
      </c>
      <c r="O595" s="3">
        <v>1394498829</v>
      </c>
      <c r="P595" t="s">
        <v>15</v>
      </c>
      <c r="Q595">
        <v>4</v>
      </c>
      <c r="R595" t="s">
        <v>1963</v>
      </c>
    </row>
    <row r="596" spans="1:18" x14ac:dyDescent="0.35">
      <c r="A596" t="s">
        <v>625</v>
      </c>
      <c r="B596" t="s">
        <v>34</v>
      </c>
      <c r="C596" t="s">
        <v>14</v>
      </c>
      <c r="D596" t="s">
        <v>1918</v>
      </c>
      <c r="E596" s="3">
        <v>25</v>
      </c>
      <c r="F596" t="s">
        <v>1823</v>
      </c>
      <c r="G596" t="s">
        <v>1822</v>
      </c>
      <c r="H596" t="s">
        <v>11</v>
      </c>
      <c r="I596" s="1" t="s">
        <v>1210</v>
      </c>
      <c r="J596" s="7">
        <v>1</v>
      </c>
      <c r="K596" s="7">
        <v>2023</v>
      </c>
      <c r="L596" s="3">
        <v>101787.14</v>
      </c>
      <c r="M596" s="9" t="s">
        <v>1960</v>
      </c>
      <c r="N596" s="2" t="s">
        <v>1853</v>
      </c>
      <c r="O596" s="3">
        <v>5973642479</v>
      </c>
      <c r="P596" t="s">
        <v>20</v>
      </c>
      <c r="Q596">
        <v>3</v>
      </c>
      <c r="R596" t="s">
        <v>1963</v>
      </c>
    </row>
    <row r="597" spans="1:18" x14ac:dyDescent="0.35">
      <c r="A597" t="s">
        <v>626</v>
      </c>
      <c r="B597" t="s">
        <v>25</v>
      </c>
      <c r="C597" t="s">
        <v>14</v>
      </c>
      <c r="D597" t="s">
        <v>1940</v>
      </c>
      <c r="E597" s="3">
        <v>30</v>
      </c>
      <c r="F597" t="s">
        <v>1813</v>
      </c>
      <c r="G597" t="s">
        <v>1818</v>
      </c>
      <c r="H597" t="s">
        <v>23</v>
      </c>
      <c r="I597" s="1" t="s">
        <v>1569</v>
      </c>
      <c r="J597" s="7">
        <v>1</v>
      </c>
      <c r="K597" s="7">
        <v>2024</v>
      </c>
      <c r="L597" s="3">
        <v>83596.78</v>
      </c>
      <c r="M597" s="9" t="s">
        <v>1959</v>
      </c>
      <c r="N597" s="2" t="s">
        <v>1875</v>
      </c>
      <c r="O597" s="3">
        <v>9624406305</v>
      </c>
      <c r="P597" t="s">
        <v>12</v>
      </c>
      <c r="Q597">
        <v>2</v>
      </c>
      <c r="R597" t="s">
        <v>1963</v>
      </c>
    </row>
    <row r="598" spans="1:18" x14ac:dyDescent="0.35">
      <c r="A598" t="s">
        <v>627</v>
      </c>
      <c r="B598" t="s">
        <v>22</v>
      </c>
      <c r="C598" t="s">
        <v>18</v>
      </c>
      <c r="D598" t="s">
        <v>1945</v>
      </c>
      <c r="E598" s="3">
        <v>40</v>
      </c>
      <c r="F598" t="s">
        <v>1821</v>
      </c>
      <c r="G598" t="s">
        <v>1816</v>
      </c>
      <c r="H598" t="s">
        <v>11</v>
      </c>
      <c r="I598" s="1" t="s">
        <v>1318</v>
      </c>
      <c r="J598" s="7">
        <v>2</v>
      </c>
      <c r="K598" s="7">
        <v>2023</v>
      </c>
      <c r="L598" s="3">
        <v>92463.94</v>
      </c>
      <c r="M598" s="9" t="s">
        <v>1960</v>
      </c>
      <c r="N598" s="2" t="s">
        <v>1880</v>
      </c>
      <c r="O598" s="3">
        <v>2447951329</v>
      </c>
      <c r="P598" t="s">
        <v>12</v>
      </c>
      <c r="Q598">
        <v>2</v>
      </c>
      <c r="R598" t="s">
        <v>1962</v>
      </c>
    </row>
    <row r="599" spans="1:18" x14ac:dyDescent="0.35">
      <c r="A599" t="s">
        <v>628</v>
      </c>
      <c r="B599" t="s">
        <v>34</v>
      </c>
      <c r="C599" t="s">
        <v>10</v>
      </c>
      <c r="D599" t="s">
        <v>1931</v>
      </c>
      <c r="E599" s="3">
        <v>30</v>
      </c>
      <c r="F599" t="s">
        <v>1817</v>
      </c>
      <c r="G599" t="s">
        <v>1814</v>
      </c>
      <c r="H599" t="s">
        <v>19</v>
      </c>
      <c r="I599" s="1" t="s">
        <v>1570</v>
      </c>
      <c r="J599" s="7">
        <v>0</v>
      </c>
      <c r="K599" s="7">
        <v>2024</v>
      </c>
      <c r="L599" s="3">
        <v>93863.32</v>
      </c>
      <c r="M599" s="9" t="s">
        <v>1960</v>
      </c>
      <c r="N599" s="2" t="s">
        <v>1866</v>
      </c>
      <c r="O599" s="3">
        <v>5319497968</v>
      </c>
      <c r="P599" t="s">
        <v>15</v>
      </c>
      <c r="Q599">
        <v>4</v>
      </c>
      <c r="R599" t="s">
        <v>1963</v>
      </c>
    </row>
    <row r="600" spans="1:18" x14ac:dyDescent="0.35">
      <c r="A600" t="s">
        <v>629</v>
      </c>
      <c r="B600" t="s">
        <v>17</v>
      </c>
      <c r="C600" t="s">
        <v>14</v>
      </c>
      <c r="D600" t="s">
        <v>1907</v>
      </c>
      <c r="E600" s="3">
        <v>30</v>
      </c>
      <c r="F600" t="s">
        <v>1813</v>
      </c>
      <c r="G600" t="s">
        <v>1816</v>
      </c>
      <c r="H600" t="s">
        <v>19</v>
      </c>
      <c r="I600" s="1" t="s">
        <v>1571</v>
      </c>
      <c r="J600" s="7">
        <v>2</v>
      </c>
      <c r="K600" s="7">
        <v>2023</v>
      </c>
      <c r="L600" s="3">
        <v>78359.41</v>
      </c>
      <c r="M600" s="9" t="s">
        <v>1959</v>
      </c>
      <c r="N600" s="2" t="s">
        <v>1842</v>
      </c>
      <c r="O600" s="3">
        <v>5867805554</v>
      </c>
      <c r="P600" t="s">
        <v>20</v>
      </c>
      <c r="Q600">
        <v>3</v>
      </c>
      <c r="R600" t="s">
        <v>1963</v>
      </c>
    </row>
    <row r="601" spans="1:18" x14ac:dyDescent="0.35">
      <c r="A601" t="s">
        <v>630</v>
      </c>
      <c r="B601" t="s">
        <v>17</v>
      </c>
      <c r="C601" t="s">
        <v>50</v>
      </c>
      <c r="D601" t="s">
        <v>1929</v>
      </c>
      <c r="E601" s="3">
        <v>30</v>
      </c>
      <c r="F601" t="s">
        <v>1823</v>
      </c>
      <c r="G601" t="s">
        <v>1824</v>
      </c>
      <c r="H601" t="s">
        <v>19</v>
      </c>
      <c r="I601" s="1" t="s">
        <v>1432</v>
      </c>
      <c r="J601" s="7">
        <v>3</v>
      </c>
      <c r="K601" s="7">
        <v>2022</v>
      </c>
      <c r="L601" s="3">
        <v>95773.57</v>
      </c>
      <c r="M601" s="9" t="s">
        <v>1960</v>
      </c>
      <c r="N601" s="2" t="s">
        <v>1864</v>
      </c>
      <c r="O601" s="3">
        <v>7277382645</v>
      </c>
      <c r="P601" t="s">
        <v>15</v>
      </c>
      <c r="Q601">
        <v>4</v>
      </c>
      <c r="R601" t="s">
        <v>1963</v>
      </c>
    </row>
    <row r="602" spans="1:18" x14ac:dyDescent="0.35">
      <c r="A602" t="s">
        <v>631</v>
      </c>
      <c r="B602" t="s">
        <v>42</v>
      </c>
      <c r="C602" t="s">
        <v>18</v>
      </c>
      <c r="D602" t="s">
        <v>1906</v>
      </c>
      <c r="E602" s="3">
        <v>30</v>
      </c>
      <c r="F602" t="s">
        <v>1821</v>
      </c>
      <c r="G602" t="s">
        <v>1818</v>
      </c>
      <c r="H602" t="s">
        <v>23</v>
      </c>
      <c r="I602" s="1" t="s">
        <v>1399</v>
      </c>
      <c r="J602" s="7">
        <v>5</v>
      </c>
      <c r="K602" s="7">
        <v>2020</v>
      </c>
      <c r="L602" s="3">
        <v>82529.08</v>
      </c>
      <c r="M602" s="9" t="s">
        <v>1959</v>
      </c>
      <c r="N602" s="2" t="s">
        <v>1841</v>
      </c>
      <c r="O602" s="3">
        <v>917851384</v>
      </c>
      <c r="P602" t="s">
        <v>15</v>
      </c>
      <c r="Q602">
        <v>4</v>
      </c>
      <c r="R602" t="s">
        <v>1962</v>
      </c>
    </row>
    <row r="603" spans="1:18" x14ac:dyDescent="0.35">
      <c r="A603" t="s">
        <v>632</v>
      </c>
      <c r="B603" t="s">
        <v>42</v>
      </c>
      <c r="C603" t="s">
        <v>29</v>
      </c>
      <c r="D603" t="s">
        <v>1908</v>
      </c>
      <c r="E603" s="3">
        <v>35</v>
      </c>
      <c r="F603" t="s">
        <v>1821</v>
      </c>
      <c r="G603" t="s">
        <v>1816</v>
      </c>
      <c r="H603" t="s">
        <v>19</v>
      </c>
      <c r="I603" s="1" t="s">
        <v>1572</v>
      </c>
      <c r="J603" s="7">
        <v>4</v>
      </c>
      <c r="K603" s="7">
        <v>2021</v>
      </c>
      <c r="L603" s="3">
        <v>109358.73</v>
      </c>
      <c r="M603" s="9" t="s">
        <v>1960</v>
      </c>
      <c r="N603" s="2" t="s">
        <v>1843</v>
      </c>
      <c r="O603" s="3">
        <v>4457702991</v>
      </c>
      <c r="P603" t="s">
        <v>20</v>
      </c>
      <c r="Q603">
        <v>3</v>
      </c>
      <c r="R603" t="s">
        <v>1963</v>
      </c>
    </row>
    <row r="604" spans="1:18" x14ac:dyDescent="0.35">
      <c r="A604" t="s">
        <v>633</v>
      </c>
      <c r="B604" t="s">
        <v>34</v>
      </c>
      <c r="C604" t="s">
        <v>14</v>
      </c>
      <c r="D604" t="s">
        <v>1918</v>
      </c>
      <c r="E604" s="3">
        <v>30</v>
      </c>
      <c r="F604" t="s">
        <v>1817</v>
      </c>
      <c r="G604" t="s">
        <v>1820</v>
      </c>
      <c r="H604" t="s">
        <v>11</v>
      </c>
      <c r="I604" s="1" t="s">
        <v>1573</v>
      </c>
      <c r="J604" s="7">
        <v>4</v>
      </c>
      <c r="K604" s="7">
        <v>2021</v>
      </c>
      <c r="L604" s="3">
        <v>89645.01</v>
      </c>
      <c r="M604" s="9" t="s">
        <v>1960</v>
      </c>
      <c r="N604" s="2" t="s">
        <v>1853</v>
      </c>
      <c r="O604" s="3">
        <v>9596604872</v>
      </c>
      <c r="P604" t="s">
        <v>20</v>
      </c>
      <c r="Q604">
        <v>3</v>
      </c>
      <c r="R604" t="s">
        <v>1962</v>
      </c>
    </row>
    <row r="605" spans="1:18" x14ac:dyDescent="0.35">
      <c r="A605" t="s">
        <v>634</v>
      </c>
      <c r="B605" t="s">
        <v>34</v>
      </c>
      <c r="C605" t="s">
        <v>50</v>
      </c>
      <c r="D605" t="s">
        <v>1954</v>
      </c>
      <c r="E605" s="3">
        <v>40</v>
      </c>
      <c r="F605" t="s">
        <v>1823</v>
      </c>
      <c r="G605" t="s">
        <v>1816</v>
      </c>
      <c r="H605" t="s">
        <v>11</v>
      </c>
      <c r="I605" s="1" t="s">
        <v>1354</v>
      </c>
      <c r="J605" s="7">
        <v>1</v>
      </c>
      <c r="K605" s="7">
        <v>2024</v>
      </c>
      <c r="L605" s="3">
        <v>84134.95</v>
      </c>
      <c r="M605" s="9" t="s">
        <v>1959</v>
      </c>
      <c r="N605" s="2" t="s">
        <v>1889</v>
      </c>
      <c r="O605" s="3">
        <v>6826911632</v>
      </c>
      <c r="P605" t="s">
        <v>27</v>
      </c>
      <c r="Q605">
        <v>1</v>
      </c>
      <c r="R605" t="s">
        <v>1962</v>
      </c>
    </row>
    <row r="606" spans="1:18" x14ac:dyDescent="0.35">
      <c r="A606" t="s">
        <v>635</v>
      </c>
      <c r="B606" t="s">
        <v>25</v>
      </c>
      <c r="C606" t="s">
        <v>10</v>
      </c>
      <c r="D606" t="s">
        <v>1900</v>
      </c>
      <c r="E606" s="3">
        <v>30</v>
      </c>
      <c r="F606" t="s">
        <v>1819</v>
      </c>
      <c r="G606" t="s">
        <v>1818</v>
      </c>
      <c r="H606" t="s">
        <v>11</v>
      </c>
      <c r="I606" s="1" t="s">
        <v>1115</v>
      </c>
      <c r="J606" s="7">
        <v>2</v>
      </c>
      <c r="K606" s="7">
        <v>2022</v>
      </c>
      <c r="L606" s="3">
        <v>113540.83</v>
      </c>
      <c r="M606" s="9" t="s">
        <v>1960</v>
      </c>
      <c r="N606" s="2" t="s">
        <v>1835</v>
      </c>
      <c r="O606" s="3">
        <v>1942268652</v>
      </c>
      <c r="P606" t="s">
        <v>20</v>
      </c>
      <c r="Q606">
        <v>3</v>
      </c>
      <c r="R606" t="s">
        <v>1962</v>
      </c>
    </row>
    <row r="607" spans="1:18" x14ac:dyDescent="0.35">
      <c r="A607" t="s">
        <v>636</v>
      </c>
      <c r="B607" t="s">
        <v>40</v>
      </c>
      <c r="C607" t="s">
        <v>26</v>
      </c>
      <c r="D607" t="s">
        <v>1904</v>
      </c>
      <c r="E607" s="3">
        <v>40</v>
      </c>
      <c r="F607" t="s">
        <v>1819</v>
      </c>
      <c r="G607" t="s">
        <v>1816</v>
      </c>
      <c r="H607" t="s">
        <v>19</v>
      </c>
      <c r="I607" s="1" t="s">
        <v>1574</v>
      </c>
      <c r="J607" s="7">
        <v>4</v>
      </c>
      <c r="K607" s="7">
        <v>2021</v>
      </c>
      <c r="L607" s="3">
        <v>57225.75</v>
      </c>
      <c r="M607" s="9" t="s">
        <v>1958</v>
      </c>
      <c r="N607" s="2" t="s">
        <v>1839</v>
      </c>
      <c r="O607" s="3">
        <v>6945515887</v>
      </c>
      <c r="P607" t="s">
        <v>12</v>
      </c>
      <c r="Q607">
        <v>2</v>
      </c>
      <c r="R607" t="s">
        <v>1962</v>
      </c>
    </row>
    <row r="608" spans="1:18" x14ac:dyDescent="0.35">
      <c r="A608" t="s">
        <v>637</v>
      </c>
      <c r="B608" t="s">
        <v>22</v>
      </c>
      <c r="C608" t="s">
        <v>10</v>
      </c>
      <c r="D608" t="s">
        <v>1895</v>
      </c>
      <c r="E608" s="3">
        <v>35</v>
      </c>
      <c r="F608" t="s">
        <v>1821</v>
      </c>
      <c r="G608" t="s">
        <v>1824</v>
      </c>
      <c r="H608" t="s">
        <v>19</v>
      </c>
      <c r="I608" s="1" t="s">
        <v>1575</v>
      </c>
      <c r="J608" s="7">
        <v>4</v>
      </c>
      <c r="K608" s="7">
        <v>2020</v>
      </c>
      <c r="L608" s="3">
        <v>76366.17</v>
      </c>
      <c r="M608" s="9" t="s">
        <v>1959</v>
      </c>
      <c r="N608" s="2" t="s">
        <v>1830</v>
      </c>
      <c r="O608" s="3">
        <v>6367747225</v>
      </c>
      <c r="P608" t="s">
        <v>15</v>
      </c>
      <c r="Q608">
        <v>4</v>
      </c>
      <c r="R608" t="s">
        <v>1963</v>
      </c>
    </row>
    <row r="609" spans="1:18" x14ac:dyDescent="0.35">
      <c r="A609" t="s">
        <v>638</v>
      </c>
      <c r="B609" t="s">
        <v>9</v>
      </c>
      <c r="C609" t="s">
        <v>29</v>
      </c>
      <c r="D609" t="s">
        <v>1926</v>
      </c>
      <c r="E609" s="3">
        <v>30</v>
      </c>
      <c r="F609" t="s">
        <v>1823</v>
      </c>
      <c r="G609" t="s">
        <v>1820</v>
      </c>
      <c r="H609" t="s">
        <v>11</v>
      </c>
      <c r="I609" s="1" t="s">
        <v>1576</v>
      </c>
      <c r="J609" s="7">
        <v>3</v>
      </c>
      <c r="K609" s="7">
        <v>2022</v>
      </c>
      <c r="L609" s="3">
        <v>78408.95</v>
      </c>
      <c r="M609" s="9" t="s">
        <v>1959</v>
      </c>
      <c r="N609" s="2" t="s">
        <v>1861</v>
      </c>
      <c r="O609" s="3">
        <v>4085721695</v>
      </c>
      <c r="P609" t="s">
        <v>15</v>
      </c>
      <c r="Q609">
        <v>4</v>
      </c>
      <c r="R609" t="s">
        <v>1962</v>
      </c>
    </row>
    <row r="610" spans="1:18" x14ac:dyDescent="0.35">
      <c r="A610" t="s">
        <v>639</v>
      </c>
      <c r="B610" t="s">
        <v>25</v>
      </c>
      <c r="C610" t="s">
        <v>14</v>
      </c>
      <c r="D610" t="s">
        <v>1940</v>
      </c>
      <c r="E610" s="3">
        <v>40</v>
      </c>
      <c r="F610" t="s">
        <v>1815</v>
      </c>
      <c r="G610" t="s">
        <v>1824</v>
      </c>
      <c r="H610" t="s">
        <v>11</v>
      </c>
      <c r="I610" s="1" t="s">
        <v>1577</v>
      </c>
      <c r="J610" s="7">
        <v>3</v>
      </c>
      <c r="K610" s="7">
        <v>2022</v>
      </c>
      <c r="L610" s="3">
        <v>111742.39999999999</v>
      </c>
      <c r="M610" s="9" t="s">
        <v>1960</v>
      </c>
      <c r="N610" s="2" t="s">
        <v>1875</v>
      </c>
      <c r="O610" s="3">
        <v>6630932997</v>
      </c>
      <c r="P610" t="s">
        <v>12</v>
      </c>
      <c r="Q610">
        <v>2</v>
      </c>
      <c r="R610" t="s">
        <v>1962</v>
      </c>
    </row>
    <row r="611" spans="1:18" x14ac:dyDescent="0.35">
      <c r="A611" t="s">
        <v>640</v>
      </c>
      <c r="B611" t="s">
        <v>37</v>
      </c>
      <c r="C611" t="s">
        <v>29</v>
      </c>
      <c r="D611" t="s">
        <v>1912</v>
      </c>
      <c r="E611" s="3">
        <v>25</v>
      </c>
      <c r="F611" t="s">
        <v>1821</v>
      </c>
      <c r="G611" t="s">
        <v>1818</v>
      </c>
      <c r="H611" t="s">
        <v>23</v>
      </c>
      <c r="I611" s="1" t="s">
        <v>1073</v>
      </c>
      <c r="J611" s="7">
        <v>4</v>
      </c>
      <c r="K611" s="7">
        <v>2021</v>
      </c>
      <c r="L611" s="3">
        <v>60516.83</v>
      </c>
      <c r="M611" s="9" t="s">
        <v>1959</v>
      </c>
      <c r="N611" s="2" t="s">
        <v>1847</v>
      </c>
      <c r="O611" s="3">
        <v>1996059328</v>
      </c>
      <c r="P611" t="s">
        <v>20</v>
      </c>
      <c r="Q611">
        <v>3</v>
      </c>
      <c r="R611" t="s">
        <v>1963</v>
      </c>
    </row>
    <row r="612" spans="1:18" x14ac:dyDescent="0.35">
      <c r="A612" t="s">
        <v>641</v>
      </c>
      <c r="B612" t="s">
        <v>9</v>
      </c>
      <c r="C612" t="s">
        <v>18</v>
      </c>
      <c r="D612" t="s">
        <v>1899</v>
      </c>
      <c r="E612" s="3">
        <v>30</v>
      </c>
      <c r="F612" t="s">
        <v>1815</v>
      </c>
      <c r="G612" t="s">
        <v>1814</v>
      </c>
      <c r="H612" t="s">
        <v>19</v>
      </c>
      <c r="I612" s="1" t="s">
        <v>1578</v>
      </c>
      <c r="J612" s="7">
        <v>5</v>
      </c>
      <c r="K612" s="7">
        <v>2020</v>
      </c>
      <c r="L612" s="3">
        <v>83706.17</v>
      </c>
      <c r="M612" s="9" t="s">
        <v>1959</v>
      </c>
      <c r="N612" s="2" t="s">
        <v>1834</v>
      </c>
      <c r="O612" s="3">
        <v>7150968831</v>
      </c>
      <c r="P612" t="s">
        <v>12</v>
      </c>
      <c r="Q612">
        <v>2</v>
      </c>
      <c r="R612" t="s">
        <v>1963</v>
      </c>
    </row>
    <row r="613" spans="1:18" x14ac:dyDescent="0.35">
      <c r="A613" t="s">
        <v>642</v>
      </c>
      <c r="B613" t="s">
        <v>37</v>
      </c>
      <c r="C613" t="s">
        <v>35</v>
      </c>
      <c r="D613" t="s">
        <v>1937</v>
      </c>
      <c r="E613" s="3">
        <v>30</v>
      </c>
      <c r="F613" t="s">
        <v>1817</v>
      </c>
      <c r="G613" t="s">
        <v>1818</v>
      </c>
      <c r="H613" t="s">
        <v>23</v>
      </c>
      <c r="I613" s="1" t="s">
        <v>1579</v>
      </c>
      <c r="J613" s="7">
        <v>5</v>
      </c>
      <c r="K613" s="7">
        <v>2020</v>
      </c>
      <c r="L613" s="3">
        <v>67056.92</v>
      </c>
      <c r="M613" s="9" t="s">
        <v>1959</v>
      </c>
      <c r="N613" s="2" t="s">
        <v>1872</v>
      </c>
      <c r="O613" s="3">
        <v>7532735240</v>
      </c>
      <c r="P613" t="s">
        <v>12</v>
      </c>
      <c r="Q613">
        <v>2</v>
      </c>
      <c r="R613" t="s">
        <v>1962</v>
      </c>
    </row>
    <row r="614" spans="1:18" x14ac:dyDescent="0.35">
      <c r="A614" t="s">
        <v>643</v>
      </c>
      <c r="B614" t="s">
        <v>34</v>
      </c>
      <c r="C614" t="s">
        <v>14</v>
      </c>
      <c r="D614" t="s">
        <v>1918</v>
      </c>
      <c r="E614" s="3">
        <v>30</v>
      </c>
      <c r="F614" t="s">
        <v>1813</v>
      </c>
      <c r="G614" t="s">
        <v>1824</v>
      </c>
      <c r="H614" t="s">
        <v>11</v>
      </c>
      <c r="I614" s="1" t="s">
        <v>1580</v>
      </c>
      <c r="J614" s="7">
        <v>0</v>
      </c>
      <c r="K614" s="7">
        <v>2024</v>
      </c>
      <c r="L614" s="3">
        <v>90058.85</v>
      </c>
      <c r="M614" s="9" t="s">
        <v>1960</v>
      </c>
      <c r="N614" s="2" t="s">
        <v>1853</v>
      </c>
      <c r="O614" s="3">
        <v>397739731</v>
      </c>
      <c r="P614" t="s">
        <v>27</v>
      </c>
      <c r="Q614">
        <v>1</v>
      </c>
      <c r="R614" t="s">
        <v>1963</v>
      </c>
    </row>
    <row r="615" spans="1:18" x14ac:dyDescent="0.35">
      <c r="A615" t="s">
        <v>644</v>
      </c>
      <c r="B615" t="s">
        <v>22</v>
      </c>
      <c r="C615" t="s">
        <v>35</v>
      </c>
      <c r="D615" t="s">
        <v>1948</v>
      </c>
      <c r="E615" s="3">
        <v>30</v>
      </c>
      <c r="F615" t="s">
        <v>1821</v>
      </c>
      <c r="G615" t="s">
        <v>1820</v>
      </c>
      <c r="H615" t="s">
        <v>19</v>
      </c>
      <c r="I615" s="1" t="s">
        <v>1581</v>
      </c>
      <c r="J615" s="7">
        <v>2</v>
      </c>
      <c r="K615" s="7">
        <v>2023</v>
      </c>
      <c r="L615" s="3">
        <v>94633.59</v>
      </c>
      <c r="M615" s="9" t="s">
        <v>1960</v>
      </c>
      <c r="N615" s="2" t="s">
        <v>1883</v>
      </c>
      <c r="O615" s="3">
        <v>7819523709</v>
      </c>
      <c r="P615" t="s">
        <v>12</v>
      </c>
      <c r="Q615">
        <v>2</v>
      </c>
      <c r="R615" t="s">
        <v>1962</v>
      </c>
    </row>
    <row r="616" spans="1:18" x14ac:dyDescent="0.35">
      <c r="A616" t="s">
        <v>645</v>
      </c>
      <c r="B616" t="s">
        <v>22</v>
      </c>
      <c r="C616" t="s">
        <v>50</v>
      </c>
      <c r="D616" t="s">
        <v>1943</v>
      </c>
      <c r="E616" s="3">
        <v>25</v>
      </c>
      <c r="F616" t="s">
        <v>1817</v>
      </c>
      <c r="G616" t="s">
        <v>1820</v>
      </c>
      <c r="H616" t="s">
        <v>19</v>
      </c>
      <c r="I616" s="1" t="s">
        <v>1582</v>
      </c>
      <c r="J616" s="7">
        <v>3</v>
      </c>
      <c r="K616" s="7">
        <v>2022</v>
      </c>
      <c r="L616" s="3">
        <v>110711.17</v>
      </c>
      <c r="M616" s="9" t="s">
        <v>1960</v>
      </c>
      <c r="N616" s="2" t="s">
        <v>1878</v>
      </c>
      <c r="O616" s="3">
        <v>687616480</v>
      </c>
      <c r="P616" t="s">
        <v>15</v>
      </c>
      <c r="Q616">
        <v>4</v>
      </c>
      <c r="R616" t="s">
        <v>1962</v>
      </c>
    </row>
    <row r="617" spans="1:18" x14ac:dyDescent="0.35">
      <c r="A617" t="s">
        <v>646</v>
      </c>
      <c r="B617" t="s">
        <v>42</v>
      </c>
      <c r="C617" t="s">
        <v>26</v>
      </c>
      <c r="D617" t="s">
        <v>1905</v>
      </c>
      <c r="E617" s="3">
        <v>30</v>
      </c>
      <c r="F617" t="s">
        <v>1817</v>
      </c>
      <c r="G617" t="s">
        <v>1824</v>
      </c>
      <c r="H617" t="s">
        <v>11</v>
      </c>
      <c r="I617" s="1" t="s">
        <v>1179</v>
      </c>
      <c r="J617" s="7">
        <v>2</v>
      </c>
      <c r="K617" s="7">
        <v>2023</v>
      </c>
      <c r="L617" s="3">
        <v>96175.41</v>
      </c>
      <c r="M617" s="9" t="s">
        <v>1960</v>
      </c>
      <c r="N617" s="2" t="s">
        <v>1840</v>
      </c>
      <c r="O617" s="3">
        <v>9807704604</v>
      </c>
      <c r="P617" t="s">
        <v>12</v>
      </c>
      <c r="Q617">
        <v>2</v>
      </c>
      <c r="R617" t="s">
        <v>1962</v>
      </c>
    </row>
    <row r="618" spans="1:18" x14ac:dyDescent="0.35">
      <c r="A618" t="s">
        <v>647</v>
      </c>
      <c r="B618" t="s">
        <v>25</v>
      </c>
      <c r="C618" t="s">
        <v>62</v>
      </c>
      <c r="D618" t="s">
        <v>1922</v>
      </c>
      <c r="E618" s="3">
        <v>40</v>
      </c>
      <c r="F618" t="s">
        <v>1821</v>
      </c>
      <c r="G618" t="s">
        <v>1824</v>
      </c>
      <c r="H618" t="s">
        <v>11</v>
      </c>
      <c r="I618" s="1" t="s">
        <v>1583</v>
      </c>
      <c r="J618" s="7">
        <v>4</v>
      </c>
      <c r="K618" s="7">
        <v>2021</v>
      </c>
      <c r="L618" s="3">
        <v>76474.789999999994</v>
      </c>
      <c r="M618" s="9" t="s">
        <v>1959</v>
      </c>
      <c r="N618" s="2" t="s">
        <v>1857</v>
      </c>
      <c r="O618" s="3">
        <v>6876112490</v>
      </c>
      <c r="P618" t="s">
        <v>15</v>
      </c>
      <c r="Q618">
        <v>4</v>
      </c>
      <c r="R618" t="s">
        <v>1962</v>
      </c>
    </row>
    <row r="619" spans="1:18" x14ac:dyDescent="0.35">
      <c r="A619" t="s">
        <v>648</v>
      </c>
      <c r="B619" t="s">
        <v>17</v>
      </c>
      <c r="C619" t="s">
        <v>29</v>
      </c>
      <c r="D619" t="s">
        <v>1897</v>
      </c>
      <c r="E619" s="3">
        <v>30</v>
      </c>
      <c r="F619" t="s">
        <v>1821</v>
      </c>
      <c r="G619" t="s">
        <v>1824</v>
      </c>
      <c r="H619" t="s">
        <v>19</v>
      </c>
      <c r="I619" s="1" t="s">
        <v>1584</v>
      </c>
      <c r="J619" s="7">
        <v>3</v>
      </c>
      <c r="K619" s="7">
        <v>2022</v>
      </c>
      <c r="L619" s="3">
        <v>107855.99</v>
      </c>
      <c r="M619" s="9" t="s">
        <v>1960</v>
      </c>
      <c r="N619" s="2" t="s">
        <v>1832</v>
      </c>
      <c r="O619" s="3">
        <v>2565237340</v>
      </c>
      <c r="P619" t="s">
        <v>15</v>
      </c>
      <c r="Q619">
        <v>4</v>
      </c>
      <c r="R619" t="s">
        <v>1963</v>
      </c>
    </row>
    <row r="620" spans="1:18" x14ac:dyDescent="0.35">
      <c r="A620" t="s">
        <v>649</v>
      </c>
      <c r="B620" t="s">
        <v>34</v>
      </c>
      <c r="C620" t="s">
        <v>10</v>
      </c>
      <c r="D620" t="s">
        <v>1931</v>
      </c>
      <c r="E620" s="3">
        <v>40</v>
      </c>
      <c r="F620" t="s">
        <v>1821</v>
      </c>
      <c r="G620" t="s">
        <v>1824</v>
      </c>
      <c r="H620" t="s">
        <v>11</v>
      </c>
      <c r="I620" s="1" t="s">
        <v>1569</v>
      </c>
      <c r="J620" s="7">
        <v>1</v>
      </c>
      <c r="K620" s="7">
        <v>2024</v>
      </c>
      <c r="L620" s="3">
        <v>104870.78</v>
      </c>
      <c r="M620" s="9" t="s">
        <v>1960</v>
      </c>
      <c r="N620" s="2" t="s">
        <v>1866</v>
      </c>
      <c r="O620" s="3">
        <v>5177345474</v>
      </c>
      <c r="P620" t="s">
        <v>15</v>
      </c>
      <c r="Q620">
        <v>4</v>
      </c>
      <c r="R620" t="s">
        <v>1962</v>
      </c>
    </row>
    <row r="621" spans="1:18" x14ac:dyDescent="0.35">
      <c r="A621" t="s">
        <v>650</v>
      </c>
      <c r="B621" t="s">
        <v>9</v>
      </c>
      <c r="C621" t="s">
        <v>26</v>
      </c>
      <c r="D621" t="s">
        <v>1924</v>
      </c>
      <c r="E621" s="3">
        <v>25</v>
      </c>
      <c r="F621" t="s">
        <v>1815</v>
      </c>
      <c r="G621" t="s">
        <v>1818</v>
      </c>
      <c r="H621" t="s">
        <v>11</v>
      </c>
      <c r="I621" s="1" t="s">
        <v>1585</v>
      </c>
      <c r="J621" s="7">
        <v>2</v>
      </c>
      <c r="K621" s="7">
        <v>2023</v>
      </c>
      <c r="L621" s="3">
        <v>0</v>
      </c>
      <c r="M621" s="9" t="s">
        <v>1958</v>
      </c>
      <c r="N621" s="2" t="s">
        <v>1859</v>
      </c>
      <c r="O621" s="3">
        <v>7494902283</v>
      </c>
      <c r="P621" t="s">
        <v>20</v>
      </c>
      <c r="Q621">
        <v>3</v>
      </c>
      <c r="R621" t="s">
        <v>1963</v>
      </c>
    </row>
    <row r="622" spans="1:18" x14ac:dyDescent="0.35">
      <c r="A622" t="s">
        <v>651</v>
      </c>
      <c r="B622" t="s">
        <v>42</v>
      </c>
      <c r="C622" t="s">
        <v>14</v>
      </c>
      <c r="D622" t="s">
        <v>1936</v>
      </c>
      <c r="E622" s="3">
        <v>30</v>
      </c>
      <c r="F622" t="s">
        <v>1815</v>
      </c>
      <c r="G622" t="s">
        <v>1814</v>
      </c>
      <c r="H622" t="s">
        <v>11</v>
      </c>
      <c r="I622" s="1" t="s">
        <v>1586</v>
      </c>
      <c r="J622" s="7">
        <v>1</v>
      </c>
      <c r="K622" s="7">
        <v>2023</v>
      </c>
      <c r="L622" s="3">
        <v>87087.16</v>
      </c>
      <c r="M622" s="9" t="s">
        <v>1960</v>
      </c>
      <c r="N622" s="2" t="s">
        <v>1871</v>
      </c>
      <c r="O622" s="3">
        <v>359544293</v>
      </c>
      <c r="P622" t="s">
        <v>27</v>
      </c>
      <c r="Q622">
        <v>1</v>
      </c>
      <c r="R622" t="s">
        <v>1963</v>
      </c>
    </row>
    <row r="623" spans="1:18" x14ac:dyDescent="0.35">
      <c r="A623" t="s">
        <v>652</v>
      </c>
      <c r="B623" t="s">
        <v>40</v>
      </c>
      <c r="C623" t="s">
        <v>35</v>
      </c>
      <c r="D623" t="s">
        <v>1915</v>
      </c>
      <c r="E623" s="3">
        <v>40</v>
      </c>
      <c r="F623" t="s">
        <v>1823</v>
      </c>
      <c r="G623" t="s">
        <v>1824</v>
      </c>
      <c r="H623" t="s">
        <v>19</v>
      </c>
      <c r="I623" s="1" t="s">
        <v>1354</v>
      </c>
      <c r="J623" s="7">
        <v>1</v>
      </c>
      <c r="K623" s="7">
        <v>2024</v>
      </c>
      <c r="L623" s="3">
        <v>108603.34</v>
      </c>
      <c r="M623" s="9" t="s">
        <v>1960</v>
      </c>
      <c r="N623" s="2" t="s">
        <v>1850</v>
      </c>
      <c r="O623" s="3">
        <v>7742229463</v>
      </c>
      <c r="P623" t="s">
        <v>15</v>
      </c>
      <c r="Q623">
        <v>4</v>
      </c>
      <c r="R623" t="s">
        <v>1963</v>
      </c>
    </row>
    <row r="624" spans="1:18" x14ac:dyDescent="0.35">
      <c r="A624" t="s">
        <v>653</v>
      </c>
      <c r="B624" t="s">
        <v>42</v>
      </c>
      <c r="C624" t="s">
        <v>10</v>
      </c>
      <c r="D624" t="s">
        <v>1939</v>
      </c>
      <c r="E624" s="3">
        <v>30</v>
      </c>
      <c r="F624" t="s">
        <v>1823</v>
      </c>
      <c r="G624" t="s">
        <v>1820</v>
      </c>
      <c r="H624" t="s">
        <v>11</v>
      </c>
      <c r="I624" s="1" t="s">
        <v>1587</v>
      </c>
      <c r="J624" s="7">
        <v>1</v>
      </c>
      <c r="K624" s="7">
        <v>2024</v>
      </c>
      <c r="L624" s="3">
        <v>55867.23</v>
      </c>
      <c r="M624" s="9" t="s">
        <v>1958</v>
      </c>
      <c r="N624" s="2" t="s">
        <v>1874</v>
      </c>
      <c r="O624" s="3">
        <v>3039429044</v>
      </c>
      <c r="P624" t="s">
        <v>15</v>
      </c>
      <c r="Q624">
        <v>4</v>
      </c>
      <c r="R624" t="s">
        <v>1963</v>
      </c>
    </row>
    <row r="625" spans="1:18" x14ac:dyDescent="0.35">
      <c r="A625" t="s">
        <v>654</v>
      </c>
      <c r="B625" t="s">
        <v>42</v>
      </c>
      <c r="C625" t="s">
        <v>35</v>
      </c>
      <c r="D625" t="s">
        <v>1919</v>
      </c>
      <c r="E625" s="3">
        <v>35</v>
      </c>
      <c r="F625" t="s">
        <v>1817</v>
      </c>
      <c r="G625" t="s">
        <v>1816</v>
      </c>
      <c r="H625" t="s">
        <v>19</v>
      </c>
      <c r="I625" s="1" t="s">
        <v>1588</v>
      </c>
      <c r="J625" s="7">
        <v>1</v>
      </c>
      <c r="K625" s="7">
        <v>2024</v>
      </c>
      <c r="L625" s="3">
        <v>105259.57</v>
      </c>
      <c r="M625" s="9" t="s">
        <v>1960</v>
      </c>
      <c r="N625" s="2" t="s">
        <v>1854</v>
      </c>
      <c r="O625" s="3">
        <v>8867925297</v>
      </c>
      <c r="P625" t="s">
        <v>20</v>
      </c>
      <c r="Q625">
        <v>3</v>
      </c>
      <c r="R625" t="s">
        <v>1962</v>
      </c>
    </row>
    <row r="626" spans="1:18" x14ac:dyDescent="0.35">
      <c r="A626" t="s">
        <v>655</v>
      </c>
      <c r="B626" t="s">
        <v>9</v>
      </c>
      <c r="C626" t="s">
        <v>18</v>
      </c>
      <c r="D626" t="s">
        <v>1899</v>
      </c>
      <c r="E626" s="3">
        <v>30</v>
      </c>
      <c r="F626" t="s">
        <v>1819</v>
      </c>
      <c r="G626" t="s">
        <v>1820</v>
      </c>
      <c r="H626" t="s">
        <v>19</v>
      </c>
      <c r="I626" s="1" t="s">
        <v>1589</v>
      </c>
      <c r="J626" s="7">
        <v>4</v>
      </c>
      <c r="K626" s="7">
        <v>2021</v>
      </c>
      <c r="L626" s="3">
        <v>98143.67</v>
      </c>
      <c r="M626" s="9" t="s">
        <v>1960</v>
      </c>
      <c r="N626" s="2" t="s">
        <v>1834</v>
      </c>
      <c r="O626" s="3">
        <v>5856728726</v>
      </c>
      <c r="P626" t="s">
        <v>15</v>
      </c>
      <c r="Q626">
        <v>4</v>
      </c>
      <c r="R626" t="s">
        <v>1963</v>
      </c>
    </row>
    <row r="627" spans="1:18" x14ac:dyDescent="0.35">
      <c r="A627" t="s">
        <v>656</v>
      </c>
      <c r="B627" t="s">
        <v>25</v>
      </c>
      <c r="C627" t="s">
        <v>35</v>
      </c>
      <c r="D627" t="s">
        <v>1944</v>
      </c>
      <c r="E627" s="3">
        <v>25</v>
      </c>
      <c r="F627" t="s">
        <v>1817</v>
      </c>
      <c r="G627" t="s">
        <v>1820</v>
      </c>
      <c r="H627" t="s">
        <v>19</v>
      </c>
      <c r="I627" s="1" t="s">
        <v>1590</v>
      </c>
      <c r="J627" s="7">
        <v>2</v>
      </c>
      <c r="K627" s="7">
        <v>2023</v>
      </c>
      <c r="L627" s="3">
        <v>67754.289999999994</v>
      </c>
      <c r="M627" s="9" t="s">
        <v>1959</v>
      </c>
      <c r="N627" s="2" t="s">
        <v>1879</v>
      </c>
      <c r="O627" s="3">
        <v>6015343323</v>
      </c>
      <c r="P627" t="s">
        <v>12</v>
      </c>
      <c r="Q627">
        <v>2</v>
      </c>
      <c r="R627" t="s">
        <v>1962</v>
      </c>
    </row>
    <row r="628" spans="1:18" x14ac:dyDescent="0.35">
      <c r="A628" t="s">
        <v>657</v>
      </c>
      <c r="B628" t="s">
        <v>42</v>
      </c>
      <c r="C628" t="s">
        <v>18</v>
      </c>
      <c r="D628" t="s">
        <v>1906</v>
      </c>
      <c r="E628" s="3">
        <v>30</v>
      </c>
      <c r="F628" t="s">
        <v>1823</v>
      </c>
      <c r="G628" t="s">
        <v>1824</v>
      </c>
      <c r="H628" t="s">
        <v>23</v>
      </c>
      <c r="I628" s="1" t="s">
        <v>1332</v>
      </c>
      <c r="J628" s="7">
        <v>2</v>
      </c>
      <c r="K628" s="7">
        <v>2023</v>
      </c>
      <c r="L628" s="3">
        <v>77821.789999999994</v>
      </c>
      <c r="M628" s="9" t="s">
        <v>1959</v>
      </c>
      <c r="N628" s="2" t="s">
        <v>1841</v>
      </c>
      <c r="O628" s="3">
        <v>9135779082</v>
      </c>
      <c r="P628" t="s">
        <v>12</v>
      </c>
      <c r="Q628">
        <v>2</v>
      </c>
      <c r="R628" t="s">
        <v>1963</v>
      </c>
    </row>
    <row r="629" spans="1:18" x14ac:dyDescent="0.35">
      <c r="A629" t="s">
        <v>658</v>
      </c>
      <c r="B629" t="s">
        <v>40</v>
      </c>
      <c r="C629" t="s">
        <v>50</v>
      </c>
      <c r="D629" t="s">
        <v>1920</v>
      </c>
      <c r="E629" s="3">
        <v>30</v>
      </c>
      <c r="F629" t="s">
        <v>1823</v>
      </c>
      <c r="G629" t="s">
        <v>1824</v>
      </c>
      <c r="H629" t="s">
        <v>19</v>
      </c>
      <c r="I629" s="1" t="s">
        <v>1591</v>
      </c>
      <c r="J629" s="7">
        <v>3</v>
      </c>
      <c r="K629" s="7">
        <v>2022</v>
      </c>
      <c r="L629" s="3">
        <v>67764.44</v>
      </c>
      <c r="M629" s="9" t="s">
        <v>1959</v>
      </c>
      <c r="N629" s="2" t="s">
        <v>1855</v>
      </c>
      <c r="O629" s="3">
        <v>3506158147</v>
      </c>
      <c r="P629" t="s">
        <v>27</v>
      </c>
      <c r="Q629">
        <v>1</v>
      </c>
      <c r="R629" t="s">
        <v>1963</v>
      </c>
    </row>
    <row r="630" spans="1:18" x14ac:dyDescent="0.35">
      <c r="A630" t="s">
        <v>659</v>
      </c>
      <c r="B630" t="s">
        <v>25</v>
      </c>
      <c r="C630" t="s">
        <v>10</v>
      </c>
      <c r="D630" t="s">
        <v>1900</v>
      </c>
      <c r="E630" s="3">
        <v>40</v>
      </c>
      <c r="F630" t="s">
        <v>1813</v>
      </c>
      <c r="G630" t="s">
        <v>1822</v>
      </c>
      <c r="H630" t="s">
        <v>19</v>
      </c>
      <c r="I630" s="1" t="s">
        <v>1532</v>
      </c>
      <c r="J630" s="7">
        <v>5</v>
      </c>
      <c r="K630" s="7">
        <v>2020</v>
      </c>
      <c r="L630" s="3">
        <v>102346.99</v>
      </c>
      <c r="M630" s="9" t="s">
        <v>1960</v>
      </c>
      <c r="N630" s="2" t="s">
        <v>1835</v>
      </c>
      <c r="O630" s="3">
        <v>8810798333</v>
      </c>
      <c r="P630" t="s">
        <v>15</v>
      </c>
      <c r="Q630">
        <v>4</v>
      </c>
      <c r="R630" t="s">
        <v>1962</v>
      </c>
    </row>
    <row r="631" spans="1:18" x14ac:dyDescent="0.35">
      <c r="A631" t="s">
        <v>660</v>
      </c>
      <c r="B631" t="s">
        <v>34</v>
      </c>
      <c r="C631" t="s">
        <v>10</v>
      </c>
      <c r="D631" t="s">
        <v>1931</v>
      </c>
      <c r="E631" s="3">
        <v>25</v>
      </c>
      <c r="F631" t="s">
        <v>1817</v>
      </c>
      <c r="G631" t="s">
        <v>1824</v>
      </c>
      <c r="H631" t="s">
        <v>23</v>
      </c>
      <c r="I631" s="1" t="s">
        <v>1346</v>
      </c>
      <c r="J631" s="7">
        <v>1</v>
      </c>
      <c r="K631" s="7">
        <v>2024</v>
      </c>
      <c r="L631" s="3">
        <v>73690.649999999994</v>
      </c>
      <c r="M631" s="9" t="s">
        <v>1959</v>
      </c>
      <c r="N631" s="2" t="s">
        <v>1866</v>
      </c>
      <c r="O631" s="3">
        <v>2337209483</v>
      </c>
      <c r="P631" t="s">
        <v>20</v>
      </c>
      <c r="Q631">
        <v>3</v>
      </c>
      <c r="R631" t="s">
        <v>1962</v>
      </c>
    </row>
    <row r="632" spans="1:18" x14ac:dyDescent="0.35">
      <c r="A632" t="s">
        <v>661</v>
      </c>
      <c r="B632" t="s">
        <v>17</v>
      </c>
      <c r="C632" t="s">
        <v>62</v>
      </c>
      <c r="D632" t="s">
        <v>1933</v>
      </c>
      <c r="E632" s="3">
        <v>30</v>
      </c>
      <c r="F632" t="s">
        <v>1815</v>
      </c>
      <c r="G632" t="s">
        <v>1818</v>
      </c>
      <c r="H632" t="s">
        <v>11</v>
      </c>
      <c r="I632" s="1" t="s">
        <v>1185</v>
      </c>
      <c r="J632" s="7">
        <v>1</v>
      </c>
      <c r="K632" s="7">
        <v>2024</v>
      </c>
      <c r="L632" s="3">
        <v>56376.2</v>
      </c>
      <c r="M632" s="9" t="s">
        <v>1958</v>
      </c>
      <c r="N632" s="2" t="s">
        <v>1868</v>
      </c>
      <c r="O632" s="3">
        <v>1312840332</v>
      </c>
      <c r="P632" t="s">
        <v>12</v>
      </c>
      <c r="Q632">
        <v>2</v>
      </c>
      <c r="R632" t="s">
        <v>1962</v>
      </c>
    </row>
    <row r="633" spans="1:18" x14ac:dyDescent="0.35">
      <c r="A633" t="s">
        <v>662</v>
      </c>
      <c r="B633" t="s">
        <v>42</v>
      </c>
      <c r="C633" t="s">
        <v>14</v>
      </c>
      <c r="D633" t="s">
        <v>1936</v>
      </c>
      <c r="E633" s="3">
        <v>25</v>
      </c>
      <c r="F633" t="s">
        <v>1819</v>
      </c>
      <c r="G633" t="s">
        <v>1814</v>
      </c>
      <c r="H633" t="s">
        <v>11</v>
      </c>
      <c r="I633" s="1" t="s">
        <v>1275</v>
      </c>
      <c r="J633" s="7">
        <v>3</v>
      </c>
      <c r="K633" s="7">
        <v>2022</v>
      </c>
      <c r="L633" s="3">
        <v>55602.78</v>
      </c>
      <c r="M633" s="9" t="s">
        <v>1958</v>
      </c>
      <c r="N633" s="2" t="s">
        <v>1871</v>
      </c>
      <c r="O633" s="3">
        <v>9977180512</v>
      </c>
      <c r="P633" t="s">
        <v>20</v>
      </c>
      <c r="Q633">
        <v>3</v>
      </c>
      <c r="R633" t="s">
        <v>1963</v>
      </c>
    </row>
    <row r="634" spans="1:18" x14ac:dyDescent="0.35">
      <c r="A634" t="s">
        <v>663</v>
      </c>
      <c r="B634" t="s">
        <v>42</v>
      </c>
      <c r="C634" t="s">
        <v>18</v>
      </c>
      <c r="D634" t="s">
        <v>1906</v>
      </c>
      <c r="E634" s="3">
        <v>40</v>
      </c>
      <c r="F634" t="s">
        <v>1821</v>
      </c>
      <c r="G634" t="s">
        <v>1818</v>
      </c>
      <c r="H634" t="s">
        <v>19</v>
      </c>
      <c r="I634" s="1" t="s">
        <v>1546</v>
      </c>
      <c r="J634" s="7">
        <v>4</v>
      </c>
      <c r="K634" s="7">
        <v>2021</v>
      </c>
      <c r="L634" s="3">
        <v>99812.41</v>
      </c>
      <c r="M634" s="9" t="s">
        <v>1960</v>
      </c>
      <c r="N634" s="2" t="s">
        <v>1841</v>
      </c>
      <c r="O634" s="3">
        <v>7171731892</v>
      </c>
      <c r="P634" t="s">
        <v>20</v>
      </c>
      <c r="Q634">
        <v>3</v>
      </c>
      <c r="R634" t="s">
        <v>1963</v>
      </c>
    </row>
    <row r="635" spans="1:18" x14ac:dyDescent="0.35">
      <c r="A635" t="s">
        <v>664</v>
      </c>
      <c r="B635" t="s">
        <v>34</v>
      </c>
      <c r="C635" t="s">
        <v>62</v>
      </c>
      <c r="D635" t="s">
        <v>1934</v>
      </c>
      <c r="E635" s="3">
        <v>40</v>
      </c>
      <c r="F635" t="s">
        <v>1815</v>
      </c>
      <c r="G635" t="s">
        <v>1816</v>
      </c>
      <c r="H635" t="s">
        <v>11</v>
      </c>
      <c r="I635" s="1" t="s">
        <v>1592</v>
      </c>
      <c r="J635" s="7">
        <v>1</v>
      </c>
      <c r="K635" s="7">
        <v>2024</v>
      </c>
      <c r="L635" s="3">
        <v>95981.9</v>
      </c>
      <c r="M635" s="9" t="s">
        <v>1960</v>
      </c>
      <c r="N635" s="2" t="s">
        <v>1869</v>
      </c>
      <c r="O635" s="3">
        <v>9749096172</v>
      </c>
      <c r="P635" t="s">
        <v>12</v>
      </c>
      <c r="Q635">
        <v>2</v>
      </c>
      <c r="R635" t="s">
        <v>1962</v>
      </c>
    </row>
    <row r="636" spans="1:18" x14ac:dyDescent="0.35">
      <c r="A636" t="s">
        <v>665</v>
      </c>
      <c r="B636" t="s">
        <v>22</v>
      </c>
      <c r="C636" t="s">
        <v>35</v>
      </c>
      <c r="D636" t="s">
        <v>1948</v>
      </c>
      <c r="E636" s="3">
        <v>30</v>
      </c>
      <c r="F636" t="s">
        <v>1819</v>
      </c>
      <c r="G636" t="s">
        <v>1824</v>
      </c>
      <c r="H636" t="s">
        <v>19</v>
      </c>
      <c r="I636" s="1" t="s">
        <v>1593</v>
      </c>
      <c r="J636" s="7">
        <v>3</v>
      </c>
      <c r="K636" s="7">
        <v>2022</v>
      </c>
      <c r="L636" s="3">
        <v>98891.48</v>
      </c>
      <c r="M636" s="9" t="s">
        <v>1960</v>
      </c>
      <c r="N636" s="2" t="s">
        <v>1883</v>
      </c>
      <c r="O636" s="3">
        <v>9970469471</v>
      </c>
      <c r="P636" t="s">
        <v>20</v>
      </c>
      <c r="Q636">
        <v>3</v>
      </c>
      <c r="R636" t="s">
        <v>1962</v>
      </c>
    </row>
    <row r="637" spans="1:18" x14ac:dyDescent="0.35">
      <c r="A637" t="s">
        <v>666</v>
      </c>
      <c r="B637" t="s">
        <v>17</v>
      </c>
      <c r="C637" t="s">
        <v>35</v>
      </c>
      <c r="D637" t="s">
        <v>1925</v>
      </c>
      <c r="E637" s="3">
        <v>35</v>
      </c>
      <c r="F637" t="s">
        <v>1817</v>
      </c>
      <c r="G637" t="s">
        <v>1818</v>
      </c>
      <c r="H637" t="s">
        <v>11</v>
      </c>
      <c r="I637" s="1" t="s">
        <v>1461</v>
      </c>
      <c r="J637" s="7">
        <v>5</v>
      </c>
      <c r="K637" s="7">
        <v>2020</v>
      </c>
      <c r="L637" s="3">
        <v>56079</v>
      </c>
      <c r="M637" s="9" t="s">
        <v>1958</v>
      </c>
      <c r="N637" s="2" t="s">
        <v>1860</v>
      </c>
      <c r="O637" s="3">
        <v>5878444834</v>
      </c>
      <c r="P637" t="s">
        <v>12</v>
      </c>
      <c r="Q637">
        <v>2</v>
      </c>
      <c r="R637" t="s">
        <v>1962</v>
      </c>
    </row>
    <row r="638" spans="1:18" x14ac:dyDescent="0.35">
      <c r="A638" t="s">
        <v>667</v>
      </c>
      <c r="B638" t="s">
        <v>42</v>
      </c>
      <c r="C638" t="s">
        <v>62</v>
      </c>
      <c r="D638" t="s">
        <v>1921</v>
      </c>
      <c r="E638" s="3">
        <v>35</v>
      </c>
      <c r="F638" t="s">
        <v>1813</v>
      </c>
      <c r="G638" t="s">
        <v>1820</v>
      </c>
      <c r="H638" t="s">
        <v>23</v>
      </c>
      <c r="I638" s="1" t="s">
        <v>1594</v>
      </c>
      <c r="J638" s="7">
        <v>2</v>
      </c>
      <c r="K638" s="7">
        <v>2023</v>
      </c>
      <c r="L638" s="3">
        <v>0</v>
      </c>
      <c r="M638" s="9" t="s">
        <v>1958</v>
      </c>
      <c r="N638" s="2" t="s">
        <v>1856</v>
      </c>
      <c r="O638" s="3">
        <v>4884712704</v>
      </c>
      <c r="P638" t="s">
        <v>20</v>
      </c>
      <c r="Q638">
        <v>3</v>
      </c>
      <c r="R638" t="s">
        <v>1962</v>
      </c>
    </row>
    <row r="639" spans="1:18" x14ac:dyDescent="0.35">
      <c r="A639" t="s">
        <v>668</v>
      </c>
      <c r="B639" t="s">
        <v>9</v>
      </c>
      <c r="C639" t="s">
        <v>10</v>
      </c>
      <c r="D639" t="s">
        <v>1892</v>
      </c>
      <c r="E639" s="3">
        <v>25</v>
      </c>
      <c r="F639" t="s">
        <v>1821</v>
      </c>
      <c r="G639" t="s">
        <v>1814</v>
      </c>
      <c r="H639" t="s">
        <v>19</v>
      </c>
      <c r="I639" s="1" t="s">
        <v>1255</v>
      </c>
      <c r="J639" s="7">
        <v>1</v>
      </c>
      <c r="K639" s="7">
        <v>2024</v>
      </c>
      <c r="L639" s="3">
        <v>89137.97</v>
      </c>
      <c r="M639" s="9" t="s">
        <v>1960</v>
      </c>
      <c r="N639" s="2" t="s">
        <v>1827</v>
      </c>
      <c r="O639" s="3">
        <v>8772216416</v>
      </c>
      <c r="P639" t="s">
        <v>12</v>
      </c>
      <c r="Q639">
        <v>2</v>
      </c>
      <c r="R639" t="s">
        <v>1963</v>
      </c>
    </row>
    <row r="640" spans="1:18" x14ac:dyDescent="0.35">
      <c r="A640" t="s">
        <v>669</v>
      </c>
      <c r="B640" t="s">
        <v>25</v>
      </c>
      <c r="C640" t="s">
        <v>35</v>
      </c>
      <c r="D640" t="s">
        <v>1944</v>
      </c>
      <c r="E640" s="3">
        <v>35</v>
      </c>
      <c r="F640" t="s">
        <v>1817</v>
      </c>
      <c r="G640" t="s">
        <v>1824</v>
      </c>
      <c r="H640" t="s">
        <v>11</v>
      </c>
      <c r="I640" s="1" t="s">
        <v>1595</v>
      </c>
      <c r="J640" s="7">
        <v>3</v>
      </c>
      <c r="K640" s="7">
        <v>2022</v>
      </c>
      <c r="L640" s="3">
        <v>115079.97</v>
      </c>
      <c r="M640" s="9" t="s">
        <v>1960</v>
      </c>
      <c r="N640" s="2" t="s">
        <v>1879</v>
      </c>
      <c r="O640" s="3">
        <v>5823133483</v>
      </c>
      <c r="P640" t="s">
        <v>15</v>
      </c>
      <c r="Q640">
        <v>4</v>
      </c>
      <c r="R640" t="s">
        <v>1962</v>
      </c>
    </row>
    <row r="641" spans="1:18" x14ac:dyDescent="0.35">
      <c r="A641" t="s">
        <v>670</v>
      </c>
      <c r="B641" t="s">
        <v>22</v>
      </c>
      <c r="C641" t="s">
        <v>29</v>
      </c>
      <c r="D641" t="s">
        <v>1946</v>
      </c>
      <c r="E641" s="3">
        <v>30</v>
      </c>
      <c r="F641" t="s">
        <v>1815</v>
      </c>
      <c r="G641" t="s">
        <v>1824</v>
      </c>
      <c r="H641" t="s">
        <v>11</v>
      </c>
      <c r="I641" s="1" t="s">
        <v>1596</v>
      </c>
      <c r="J641" s="7">
        <v>2</v>
      </c>
      <c r="K641" s="7">
        <v>2023</v>
      </c>
      <c r="L641" s="3">
        <v>55067.02</v>
      </c>
      <c r="M641" s="9" t="s">
        <v>1958</v>
      </c>
      <c r="N641" s="2" t="s">
        <v>1881</v>
      </c>
      <c r="O641" s="3">
        <v>5871493924</v>
      </c>
      <c r="P641" t="s">
        <v>27</v>
      </c>
      <c r="Q641">
        <v>1</v>
      </c>
      <c r="R641" t="s">
        <v>1962</v>
      </c>
    </row>
    <row r="642" spans="1:18" x14ac:dyDescent="0.35">
      <c r="A642" t="s">
        <v>671</v>
      </c>
      <c r="B642" t="s">
        <v>9</v>
      </c>
      <c r="C642" t="s">
        <v>50</v>
      </c>
      <c r="D642" t="s">
        <v>1911</v>
      </c>
      <c r="E642" s="3">
        <v>30</v>
      </c>
      <c r="F642" t="s">
        <v>1823</v>
      </c>
      <c r="G642" t="s">
        <v>1824</v>
      </c>
      <c r="H642" t="s">
        <v>19</v>
      </c>
      <c r="I642" s="1" t="s">
        <v>1597</v>
      </c>
      <c r="J642" s="7">
        <v>4</v>
      </c>
      <c r="K642" s="7">
        <v>2021</v>
      </c>
      <c r="L642" s="3">
        <v>98593.43</v>
      </c>
      <c r="M642" s="9" t="s">
        <v>1960</v>
      </c>
      <c r="N642" s="2" t="s">
        <v>1846</v>
      </c>
      <c r="O642" s="3">
        <v>2362292586</v>
      </c>
      <c r="P642" t="s">
        <v>12</v>
      </c>
      <c r="Q642">
        <v>2</v>
      </c>
      <c r="R642" t="s">
        <v>1962</v>
      </c>
    </row>
    <row r="643" spans="1:18" x14ac:dyDescent="0.35">
      <c r="A643" t="s">
        <v>672</v>
      </c>
      <c r="B643" t="s">
        <v>40</v>
      </c>
      <c r="C643" t="s">
        <v>50</v>
      </c>
      <c r="D643" t="s">
        <v>1920</v>
      </c>
      <c r="E643" s="3">
        <v>30</v>
      </c>
      <c r="F643" t="s">
        <v>1823</v>
      </c>
      <c r="G643" t="s">
        <v>1820</v>
      </c>
      <c r="H643" t="s">
        <v>19</v>
      </c>
      <c r="I643" s="1" t="s">
        <v>1598</v>
      </c>
      <c r="J643" s="7">
        <v>3</v>
      </c>
      <c r="K643" s="7">
        <v>2022</v>
      </c>
      <c r="L643" s="3">
        <v>112756.67</v>
      </c>
      <c r="M643" s="9" t="s">
        <v>1960</v>
      </c>
      <c r="N643" s="2" t="s">
        <v>1855</v>
      </c>
      <c r="O643" s="3">
        <v>9643474523</v>
      </c>
      <c r="P643" t="s">
        <v>12</v>
      </c>
      <c r="Q643">
        <v>2</v>
      </c>
      <c r="R643" t="s">
        <v>1962</v>
      </c>
    </row>
    <row r="644" spans="1:18" x14ac:dyDescent="0.35">
      <c r="A644" t="s">
        <v>673</v>
      </c>
      <c r="B644" t="s">
        <v>40</v>
      </c>
      <c r="C644" t="s">
        <v>29</v>
      </c>
      <c r="D644" t="s">
        <v>1942</v>
      </c>
      <c r="E644" s="3">
        <v>25</v>
      </c>
      <c r="F644" t="s">
        <v>1823</v>
      </c>
      <c r="G644" t="s">
        <v>1816</v>
      </c>
      <c r="H644" t="s">
        <v>23</v>
      </c>
      <c r="I644" s="1" t="s">
        <v>1548</v>
      </c>
      <c r="J644" s="7">
        <v>2</v>
      </c>
      <c r="K644" s="7">
        <v>2023</v>
      </c>
      <c r="L644" s="3">
        <v>105205.92</v>
      </c>
      <c r="M644" s="9" t="s">
        <v>1960</v>
      </c>
      <c r="N644" s="2" t="s">
        <v>1877</v>
      </c>
      <c r="O644" s="3">
        <v>5557469659</v>
      </c>
      <c r="P644" t="s">
        <v>27</v>
      </c>
      <c r="Q644">
        <v>1</v>
      </c>
      <c r="R644" t="s">
        <v>1963</v>
      </c>
    </row>
    <row r="645" spans="1:18" x14ac:dyDescent="0.35">
      <c r="A645" t="s">
        <v>674</v>
      </c>
      <c r="B645" t="s">
        <v>37</v>
      </c>
      <c r="C645" t="s">
        <v>62</v>
      </c>
      <c r="D645" t="s">
        <v>1949</v>
      </c>
      <c r="E645" s="3">
        <v>35</v>
      </c>
      <c r="F645" t="s">
        <v>1815</v>
      </c>
      <c r="G645" t="s">
        <v>1814</v>
      </c>
      <c r="H645" t="s">
        <v>19</v>
      </c>
      <c r="I645" s="1" t="s">
        <v>1258</v>
      </c>
      <c r="J645" s="7">
        <v>2</v>
      </c>
      <c r="K645" s="7">
        <v>2023</v>
      </c>
      <c r="L645" s="3">
        <v>50680.62</v>
      </c>
      <c r="M645" s="9" t="s">
        <v>1958</v>
      </c>
      <c r="N645" s="2" t="s">
        <v>1884</v>
      </c>
      <c r="O645" s="3">
        <v>6065274032</v>
      </c>
      <c r="P645" t="s">
        <v>12</v>
      </c>
      <c r="Q645">
        <v>2</v>
      </c>
      <c r="R645" t="s">
        <v>1962</v>
      </c>
    </row>
    <row r="646" spans="1:18" x14ac:dyDescent="0.35">
      <c r="A646" t="s">
        <v>675</v>
      </c>
      <c r="B646" t="s">
        <v>37</v>
      </c>
      <c r="C646" t="s">
        <v>29</v>
      </c>
      <c r="D646" t="s">
        <v>1912</v>
      </c>
      <c r="E646" s="3">
        <v>35</v>
      </c>
      <c r="F646" t="s">
        <v>1819</v>
      </c>
      <c r="G646" t="s">
        <v>1820</v>
      </c>
      <c r="H646" t="s">
        <v>19</v>
      </c>
      <c r="I646" s="1" t="s">
        <v>1599</v>
      </c>
      <c r="J646" s="7">
        <v>1</v>
      </c>
      <c r="K646" s="7">
        <v>2024</v>
      </c>
      <c r="L646" s="3">
        <v>107475.23</v>
      </c>
      <c r="M646" s="9" t="s">
        <v>1960</v>
      </c>
      <c r="N646" s="2" t="s">
        <v>1847</v>
      </c>
      <c r="O646" s="3">
        <v>4450566587</v>
      </c>
      <c r="P646" t="s">
        <v>12</v>
      </c>
      <c r="Q646">
        <v>2</v>
      </c>
      <c r="R646" t="s">
        <v>1963</v>
      </c>
    </row>
    <row r="647" spans="1:18" x14ac:dyDescent="0.35">
      <c r="A647" t="s">
        <v>676</v>
      </c>
      <c r="B647" t="s">
        <v>34</v>
      </c>
      <c r="C647" t="s">
        <v>18</v>
      </c>
      <c r="D647" t="s">
        <v>1916</v>
      </c>
      <c r="E647" s="3">
        <v>40</v>
      </c>
      <c r="F647" t="s">
        <v>1823</v>
      </c>
      <c r="G647" t="s">
        <v>1814</v>
      </c>
      <c r="H647" t="s">
        <v>11</v>
      </c>
      <c r="I647" s="1" t="s">
        <v>1600</v>
      </c>
      <c r="J647" s="7">
        <v>2</v>
      </c>
      <c r="K647" s="7">
        <v>2023</v>
      </c>
      <c r="L647" s="3">
        <v>68835.3</v>
      </c>
      <c r="M647" s="9" t="s">
        <v>1959</v>
      </c>
      <c r="N647" s="2" t="s">
        <v>1851</v>
      </c>
      <c r="O647" s="3">
        <v>3398741131</v>
      </c>
      <c r="P647" t="s">
        <v>20</v>
      </c>
      <c r="Q647">
        <v>3</v>
      </c>
      <c r="R647" t="s">
        <v>1962</v>
      </c>
    </row>
    <row r="648" spans="1:18" x14ac:dyDescent="0.35">
      <c r="A648" t="s">
        <v>677</v>
      </c>
      <c r="B648" t="s">
        <v>37</v>
      </c>
      <c r="C648" t="s">
        <v>18</v>
      </c>
      <c r="D648" t="s">
        <v>1941</v>
      </c>
      <c r="E648" s="3">
        <v>40</v>
      </c>
      <c r="F648" t="s">
        <v>1813</v>
      </c>
      <c r="G648" t="s">
        <v>1822</v>
      </c>
      <c r="H648" t="s">
        <v>11</v>
      </c>
      <c r="I648" s="1" t="s">
        <v>1601</v>
      </c>
      <c r="J648" s="7">
        <v>1</v>
      </c>
      <c r="K648" s="7">
        <v>2024</v>
      </c>
      <c r="L648" s="3">
        <v>66943.960000000006</v>
      </c>
      <c r="M648" s="9" t="s">
        <v>1959</v>
      </c>
      <c r="N648" s="2" t="s">
        <v>1876</v>
      </c>
      <c r="O648" s="3">
        <v>5797067348</v>
      </c>
      <c r="P648" t="s">
        <v>27</v>
      </c>
      <c r="Q648">
        <v>1</v>
      </c>
      <c r="R648" t="s">
        <v>1962</v>
      </c>
    </row>
    <row r="649" spans="1:18" x14ac:dyDescent="0.35">
      <c r="A649" t="s">
        <v>678</v>
      </c>
      <c r="B649" t="s">
        <v>37</v>
      </c>
      <c r="C649" t="s">
        <v>62</v>
      </c>
      <c r="D649" t="s">
        <v>1949</v>
      </c>
      <c r="E649" s="3">
        <v>30</v>
      </c>
      <c r="F649" t="s">
        <v>1817</v>
      </c>
      <c r="G649" t="s">
        <v>1824</v>
      </c>
      <c r="H649" t="s">
        <v>23</v>
      </c>
      <c r="I649" s="1" t="s">
        <v>1602</v>
      </c>
      <c r="J649" s="7">
        <v>5</v>
      </c>
      <c r="K649" s="7">
        <v>2020</v>
      </c>
      <c r="L649" s="3">
        <v>104525.69</v>
      </c>
      <c r="M649" s="9" t="s">
        <v>1960</v>
      </c>
      <c r="N649" s="2" t="s">
        <v>1884</v>
      </c>
      <c r="O649" s="3">
        <v>9601054856</v>
      </c>
      <c r="P649" t="s">
        <v>15</v>
      </c>
      <c r="Q649">
        <v>4</v>
      </c>
      <c r="R649" t="s">
        <v>1963</v>
      </c>
    </row>
    <row r="650" spans="1:18" x14ac:dyDescent="0.35">
      <c r="A650" t="s">
        <v>679</v>
      </c>
      <c r="B650" t="s">
        <v>9</v>
      </c>
      <c r="C650" t="s">
        <v>29</v>
      </c>
      <c r="D650" t="s">
        <v>1926</v>
      </c>
      <c r="E650" s="3">
        <v>40</v>
      </c>
      <c r="F650" t="s">
        <v>1821</v>
      </c>
      <c r="G650" t="s">
        <v>1816</v>
      </c>
      <c r="H650" t="s">
        <v>19</v>
      </c>
      <c r="I650" s="1" t="s">
        <v>1603</v>
      </c>
      <c r="J650" s="7">
        <v>5</v>
      </c>
      <c r="K650" s="7">
        <v>2020</v>
      </c>
      <c r="L650" s="3">
        <v>109360.74</v>
      </c>
      <c r="M650" s="9" t="s">
        <v>1960</v>
      </c>
      <c r="N650" s="2" t="s">
        <v>1861</v>
      </c>
      <c r="O650" s="3">
        <v>4172156228</v>
      </c>
      <c r="P650" t="s">
        <v>12</v>
      </c>
      <c r="Q650">
        <v>2</v>
      </c>
      <c r="R650" t="s">
        <v>1962</v>
      </c>
    </row>
    <row r="651" spans="1:18" x14ac:dyDescent="0.35">
      <c r="A651" t="s">
        <v>680</v>
      </c>
      <c r="B651" t="s">
        <v>25</v>
      </c>
      <c r="C651" t="s">
        <v>18</v>
      </c>
      <c r="D651" t="s">
        <v>1898</v>
      </c>
      <c r="E651" s="3">
        <v>40</v>
      </c>
      <c r="F651" t="s">
        <v>1821</v>
      </c>
      <c r="G651" t="s">
        <v>1814</v>
      </c>
      <c r="H651" t="s">
        <v>23</v>
      </c>
      <c r="I651" s="1" t="s">
        <v>1604</v>
      </c>
      <c r="J651" s="7">
        <v>4</v>
      </c>
      <c r="K651" s="7">
        <v>2021</v>
      </c>
      <c r="L651" s="3">
        <v>118907.63</v>
      </c>
      <c r="M651" s="9" t="s">
        <v>1960</v>
      </c>
      <c r="N651" s="2" t="s">
        <v>1833</v>
      </c>
      <c r="O651" s="3">
        <v>4938173597</v>
      </c>
      <c r="P651" t="s">
        <v>27</v>
      </c>
      <c r="Q651">
        <v>1</v>
      </c>
      <c r="R651" t="s">
        <v>1963</v>
      </c>
    </row>
    <row r="652" spans="1:18" x14ac:dyDescent="0.35">
      <c r="A652" t="s">
        <v>681</v>
      </c>
      <c r="B652" t="s">
        <v>22</v>
      </c>
      <c r="C652" t="s">
        <v>10</v>
      </c>
      <c r="D652" t="s">
        <v>1895</v>
      </c>
      <c r="E652" s="3">
        <v>40</v>
      </c>
      <c r="F652" t="s">
        <v>1817</v>
      </c>
      <c r="G652" t="s">
        <v>1824</v>
      </c>
      <c r="H652" t="s">
        <v>11</v>
      </c>
      <c r="I652" s="1" t="s">
        <v>1605</v>
      </c>
      <c r="J652" s="7">
        <v>5</v>
      </c>
      <c r="K652" s="7">
        <v>2020</v>
      </c>
      <c r="L652" s="3">
        <v>86801.48</v>
      </c>
      <c r="M652" s="9" t="s">
        <v>1960</v>
      </c>
      <c r="N652" s="2" t="s">
        <v>1830</v>
      </c>
      <c r="O652" s="3">
        <v>4884021556</v>
      </c>
      <c r="P652" t="s">
        <v>20</v>
      </c>
      <c r="Q652">
        <v>3</v>
      </c>
      <c r="R652" t="s">
        <v>1963</v>
      </c>
    </row>
    <row r="653" spans="1:18" x14ac:dyDescent="0.35">
      <c r="A653" t="s">
        <v>682</v>
      </c>
      <c r="B653" t="s">
        <v>17</v>
      </c>
      <c r="C653" t="s">
        <v>29</v>
      </c>
      <c r="D653" t="s">
        <v>1897</v>
      </c>
      <c r="E653" s="3">
        <v>30</v>
      </c>
      <c r="F653" t="s">
        <v>1823</v>
      </c>
      <c r="G653" t="s">
        <v>1820</v>
      </c>
      <c r="H653" t="s">
        <v>19</v>
      </c>
      <c r="I653" s="1" t="s">
        <v>1606</v>
      </c>
      <c r="J653" s="7">
        <v>1</v>
      </c>
      <c r="K653" s="7">
        <v>2024</v>
      </c>
      <c r="L653" s="3">
        <v>62236.03</v>
      </c>
      <c r="M653" s="9" t="s">
        <v>1959</v>
      </c>
      <c r="N653" s="2" t="s">
        <v>1832</v>
      </c>
      <c r="O653" s="3">
        <v>3257375533</v>
      </c>
      <c r="P653" t="s">
        <v>15</v>
      </c>
      <c r="Q653">
        <v>4</v>
      </c>
      <c r="R653" t="s">
        <v>1962</v>
      </c>
    </row>
    <row r="654" spans="1:18" x14ac:dyDescent="0.35">
      <c r="A654" t="s">
        <v>683</v>
      </c>
      <c r="B654" t="s">
        <v>40</v>
      </c>
      <c r="C654" t="s">
        <v>10</v>
      </c>
      <c r="D654" t="s">
        <v>1952</v>
      </c>
      <c r="E654" s="3">
        <v>35</v>
      </c>
      <c r="F654" t="s">
        <v>1813</v>
      </c>
      <c r="G654" t="s">
        <v>1816</v>
      </c>
      <c r="H654" t="s">
        <v>11</v>
      </c>
      <c r="I654" s="1" t="s">
        <v>1431</v>
      </c>
      <c r="J654" s="7">
        <v>1</v>
      </c>
      <c r="K654" s="7">
        <v>2023</v>
      </c>
      <c r="L654" s="3">
        <v>64752.67</v>
      </c>
      <c r="M654" s="9" t="s">
        <v>1959</v>
      </c>
      <c r="N654" s="2" t="s">
        <v>1887</v>
      </c>
      <c r="O654" s="3">
        <v>4902166669</v>
      </c>
      <c r="P654" t="s">
        <v>27</v>
      </c>
      <c r="Q654">
        <v>1</v>
      </c>
      <c r="R654" t="s">
        <v>1963</v>
      </c>
    </row>
    <row r="655" spans="1:18" x14ac:dyDescent="0.35">
      <c r="A655" t="s">
        <v>684</v>
      </c>
      <c r="B655" t="s">
        <v>25</v>
      </c>
      <c r="C655" t="s">
        <v>18</v>
      </c>
      <c r="D655" t="s">
        <v>1898</v>
      </c>
      <c r="E655" s="3">
        <v>35</v>
      </c>
      <c r="F655" t="s">
        <v>1821</v>
      </c>
      <c r="G655" t="s">
        <v>1814</v>
      </c>
      <c r="H655" t="s">
        <v>11</v>
      </c>
      <c r="I655" s="1" t="s">
        <v>1607</v>
      </c>
      <c r="J655" s="7">
        <v>2</v>
      </c>
      <c r="K655" s="7">
        <v>2023</v>
      </c>
      <c r="L655" s="3">
        <v>68399.429999999993</v>
      </c>
      <c r="M655" s="9" t="s">
        <v>1959</v>
      </c>
      <c r="N655" s="2" t="s">
        <v>1833</v>
      </c>
      <c r="O655" s="3">
        <v>8085096084</v>
      </c>
      <c r="P655" t="s">
        <v>15</v>
      </c>
      <c r="Q655">
        <v>4</v>
      </c>
      <c r="R655" t="s">
        <v>1963</v>
      </c>
    </row>
    <row r="656" spans="1:18" x14ac:dyDescent="0.35">
      <c r="A656" t="s">
        <v>685</v>
      </c>
      <c r="B656" t="s">
        <v>25</v>
      </c>
      <c r="C656" t="s">
        <v>50</v>
      </c>
      <c r="D656" t="s">
        <v>1914</v>
      </c>
      <c r="E656" s="3">
        <v>35</v>
      </c>
      <c r="F656" t="s">
        <v>1817</v>
      </c>
      <c r="G656" t="s">
        <v>1820</v>
      </c>
      <c r="H656" t="s">
        <v>23</v>
      </c>
      <c r="I656" s="1" t="s">
        <v>1608</v>
      </c>
      <c r="J656" s="7">
        <v>4</v>
      </c>
      <c r="K656" s="7">
        <v>2021</v>
      </c>
      <c r="L656" s="3">
        <v>79336.509999999995</v>
      </c>
      <c r="M656" s="9" t="s">
        <v>1959</v>
      </c>
      <c r="N656" s="2" t="s">
        <v>1849</v>
      </c>
      <c r="O656" s="3">
        <v>8749511917</v>
      </c>
      <c r="P656" t="s">
        <v>15</v>
      </c>
      <c r="Q656">
        <v>4</v>
      </c>
      <c r="R656" t="s">
        <v>1963</v>
      </c>
    </row>
    <row r="657" spans="1:18" x14ac:dyDescent="0.35">
      <c r="A657" t="s">
        <v>686</v>
      </c>
      <c r="B657" t="s">
        <v>25</v>
      </c>
      <c r="C657" t="s">
        <v>18</v>
      </c>
      <c r="D657" t="s">
        <v>1898</v>
      </c>
      <c r="E657" s="3">
        <v>40</v>
      </c>
      <c r="F657" t="s">
        <v>1823</v>
      </c>
      <c r="G657" t="s">
        <v>1820</v>
      </c>
      <c r="H657" t="s">
        <v>11</v>
      </c>
      <c r="I657" s="1" t="s">
        <v>1609</v>
      </c>
      <c r="J657" s="7">
        <v>2</v>
      </c>
      <c r="K657" s="7">
        <v>2023</v>
      </c>
      <c r="L657" s="3">
        <v>59179.74</v>
      </c>
      <c r="M657" s="9" t="s">
        <v>1958</v>
      </c>
      <c r="N657" s="2" t="s">
        <v>1833</v>
      </c>
      <c r="O657" s="3">
        <v>1828197930</v>
      </c>
      <c r="P657" t="s">
        <v>15</v>
      </c>
      <c r="Q657">
        <v>4</v>
      </c>
      <c r="R657" t="s">
        <v>1963</v>
      </c>
    </row>
    <row r="658" spans="1:18" x14ac:dyDescent="0.35">
      <c r="A658" t="s">
        <v>687</v>
      </c>
      <c r="B658" t="s">
        <v>37</v>
      </c>
      <c r="C658" t="s">
        <v>10</v>
      </c>
      <c r="D658" t="s">
        <v>1903</v>
      </c>
      <c r="E658" s="3">
        <v>25</v>
      </c>
      <c r="F658" t="s">
        <v>1813</v>
      </c>
      <c r="G658" t="s">
        <v>1814</v>
      </c>
      <c r="H658" t="s">
        <v>11</v>
      </c>
      <c r="I658" s="1" t="s">
        <v>1610</v>
      </c>
      <c r="J658" s="7">
        <v>2</v>
      </c>
      <c r="K658" s="7">
        <v>2023</v>
      </c>
      <c r="L658" s="3">
        <v>80255.31</v>
      </c>
      <c r="M658" s="9" t="s">
        <v>1959</v>
      </c>
      <c r="N658" s="2" t="s">
        <v>1838</v>
      </c>
      <c r="O658" s="3">
        <v>6477251294</v>
      </c>
      <c r="P658" t="s">
        <v>12</v>
      </c>
      <c r="Q658">
        <v>2</v>
      </c>
      <c r="R658" t="s">
        <v>1963</v>
      </c>
    </row>
    <row r="659" spans="1:18" x14ac:dyDescent="0.35">
      <c r="A659" t="s">
        <v>688</v>
      </c>
      <c r="B659" t="s">
        <v>34</v>
      </c>
      <c r="C659" t="s">
        <v>26</v>
      </c>
      <c r="D659" t="s">
        <v>1910</v>
      </c>
      <c r="E659" s="3">
        <v>30</v>
      </c>
      <c r="F659" t="s">
        <v>1815</v>
      </c>
      <c r="G659" t="s">
        <v>1816</v>
      </c>
      <c r="H659" t="s">
        <v>11</v>
      </c>
      <c r="I659" s="1" t="s">
        <v>1611</v>
      </c>
      <c r="J659" s="7">
        <v>3</v>
      </c>
      <c r="K659" s="7">
        <v>2022</v>
      </c>
      <c r="L659" s="3">
        <v>84971.85</v>
      </c>
      <c r="M659" s="9" t="s">
        <v>1959</v>
      </c>
      <c r="N659" s="2" t="s">
        <v>1845</v>
      </c>
      <c r="O659" s="3">
        <v>7860694095</v>
      </c>
      <c r="P659" t="s">
        <v>12</v>
      </c>
      <c r="Q659">
        <v>2</v>
      </c>
      <c r="R659" t="s">
        <v>1963</v>
      </c>
    </row>
    <row r="660" spans="1:18" x14ac:dyDescent="0.35">
      <c r="A660" t="s">
        <v>689</v>
      </c>
      <c r="B660" t="s">
        <v>25</v>
      </c>
      <c r="C660" t="s">
        <v>14</v>
      </c>
      <c r="D660" t="s">
        <v>1940</v>
      </c>
      <c r="E660" s="3">
        <v>40</v>
      </c>
      <c r="F660" t="s">
        <v>1823</v>
      </c>
      <c r="G660" t="s">
        <v>1814</v>
      </c>
      <c r="H660" t="s">
        <v>19</v>
      </c>
      <c r="I660" s="1" t="s">
        <v>1612</v>
      </c>
      <c r="J660" s="7">
        <v>1</v>
      </c>
      <c r="K660" s="7">
        <v>2024</v>
      </c>
      <c r="L660" s="3">
        <v>89748.42</v>
      </c>
      <c r="M660" s="9" t="s">
        <v>1960</v>
      </c>
      <c r="N660" s="2" t="s">
        <v>1875</v>
      </c>
      <c r="O660" s="3">
        <v>35624394</v>
      </c>
      <c r="P660" t="s">
        <v>20</v>
      </c>
      <c r="Q660">
        <v>3</v>
      </c>
      <c r="R660" t="s">
        <v>1963</v>
      </c>
    </row>
    <row r="661" spans="1:18" x14ac:dyDescent="0.35">
      <c r="A661" t="s">
        <v>690</v>
      </c>
      <c r="B661" t="s">
        <v>34</v>
      </c>
      <c r="C661" t="s">
        <v>35</v>
      </c>
      <c r="D661" t="s">
        <v>1901</v>
      </c>
      <c r="E661" s="3">
        <v>25</v>
      </c>
      <c r="F661" t="s">
        <v>1817</v>
      </c>
      <c r="G661" t="s">
        <v>1814</v>
      </c>
      <c r="H661" t="s">
        <v>23</v>
      </c>
      <c r="I661" s="1" t="s">
        <v>1454</v>
      </c>
      <c r="J661" s="7">
        <v>1</v>
      </c>
      <c r="K661" s="7">
        <v>2024</v>
      </c>
      <c r="L661" s="3">
        <v>94090.35</v>
      </c>
      <c r="M661" s="9" t="s">
        <v>1960</v>
      </c>
      <c r="N661" s="2" t="s">
        <v>1836</v>
      </c>
      <c r="O661" s="3">
        <v>8739592322</v>
      </c>
      <c r="P661" t="s">
        <v>20</v>
      </c>
      <c r="Q661">
        <v>3</v>
      </c>
      <c r="R661" t="s">
        <v>1963</v>
      </c>
    </row>
    <row r="662" spans="1:18" x14ac:dyDescent="0.35">
      <c r="A662" t="s">
        <v>691</v>
      </c>
      <c r="B662" t="s">
        <v>25</v>
      </c>
      <c r="C662" t="s">
        <v>29</v>
      </c>
      <c r="D662" t="s">
        <v>1932</v>
      </c>
      <c r="E662" s="3">
        <v>35</v>
      </c>
      <c r="F662" t="s">
        <v>1823</v>
      </c>
      <c r="G662" t="s">
        <v>1814</v>
      </c>
      <c r="H662" t="s">
        <v>19</v>
      </c>
      <c r="I662" s="1" t="s">
        <v>1533</v>
      </c>
      <c r="J662" s="7">
        <v>2</v>
      </c>
      <c r="K662" s="7">
        <v>2023</v>
      </c>
      <c r="L662" s="3">
        <v>115229.12</v>
      </c>
      <c r="M662" s="9" t="s">
        <v>1960</v>
      </c>
      <c r="N662" s="2" t="s">
        <v>1867</v>
      </c>
      <c r="O662" s="3">
        <v>4210890284</v>
      </c>
      <c r="P662" t="s">
        <v>27</v>
      </c>
      <c r="Q662">
        <v>1</v>
      </c>
      <c r="R662" t="s">
        <v>1962</v>
      </c>
    </row>
    <row r="663" spans="1:18" x14ac:dyDescent="0.35">
      <c r="A663" t="s">
        <v>692</v>
      </c>
      <c r="B663" t="s">
        <v>17</v>
      </c>
      <c r="C663" t="s">
        <v>26</v>
      </c>
      <c r="D663" t="s">
        <v>1950</v>
      </c>
      <c r="E663" s="3">
        <v>40</v>
      </c>
      <c r="F663" t="s">
        <v>1819</v>
      </c>
      <c r="G663" t="s">
        <v>1814</v>
      </c>
      <c r="H663" t="s">
        <v>19</v>
      </c>
      <c r="I663" s="1" t="s">
        <v>1613</v>
      </c>
      <c r="J663" s="7">
        <v>2</v>
      </c>
      <c r="K663" s="7">
        <v>2023</v>
      </c>
      <c r="L663" s="3">
        <v>63927.07</v>
      </c>
      <c r="M663" s="9" t="s">
        <v>1959</v>
      </c>
      <c r="N663" s="2" t="s">
        <v>1885</v>
      </c>
      <c r="O663" s="3">
        <v>1553334263</v>
      </c>
      <c r="P663" t="s">
        <v>20</v>
      </c>
      <c r="Q663">
        <v>3</v>
      </c>
      <c r="R663" t="s">
        <v>1962</v>
      </c>
    </row>
    <row r="664" spans="1:18" x14ac:dyDescent="0.35">
      <c r="A664" t="s">
        <v>693</v>
      </c>
      <c r="B664" t="s">
        <v>34</v>
      </c>
      <c r="C664" t="s">
        <v>18</v>
      </c>
      <c r="D664" t="s">
        <v>1916</v>
      </c>
      <c r="E664" s="3">
        <v>35</v>
      </c>
      <c r="F664" t="s">
        <v>1823</v>
      </c>
      <c r="G664" t="s">
        <v>1814</v>
      </c>
      <c r="H664" t="s">
        <v>19</v>
      </c>
      <c r="I664" s="1" t="s">
        <v>1614</v>
      </c>
      <c r="J664" s="7">
        <v>3</v>
      </c>
      <c r="K664" s="7">
        <v>2022</v>
      </c>
      <c r="L664" s="3">
        <v>84124.56</v>
      </c>
      <c r="M664" s="9" t="s">
        <v>1959</v>
      </c>
      <c r="N664" s="2" t="s">
        <v>1851</v>
      </c>
      <c r="O664" s="3">
        <v>3350271606</v>
      </c>
      <c r="P664" t="s">
        <v>15</v>
      </c>
      <c r="Q664">
        <v>4</v>
      </c>
      <c r="R664" t="s">
        <v>1963</v>
      </c>
    </row>
    <row r="665" spans="1:18" x14ac:dyDescent="0.35">
      <c r="A665" t="s">
        <v>694</v>
      </c>
      <c r="B665" t="s">
        <v>9</v>
      </c>
      <c r="C665" t="s">
        <v>50</v>
      </c>
      <c r="D665" t="s">
        <v>1911</v>
      </c>
      <c r="E665" s="3">
        <v>40</v>
      </c>
      <c r="F665" t="s">
        <v>1821</v>
      </c>
      <c r="G665" t="s">
        <v>1814</v>
      </c>
      <c r="H665" t="s">
        <v>23</v>
      </c>
      <c r="I665" s="1" t="s">
        <v>1615</v>
      </c>
      <c r="J665" s="7">
        <v>2</v>
      </c>
      <c r="K665" s="7">
        <v>2023</v>
      </c>
      <c r="L665" s="3">
        <v>116961.61</v>
      </c>
      <c r="M665" s="9" t="s">
        <v>1960</v>
      </c>
      <c r="N665" s="2" t="s">
        <v>1846</v>
      </c>
      <c r="O665" s="3">
        <v>3607763368</v>
      </c>
      <c r="P665" t="s">
        <v>15</v>
      </c>
      <c r="Q665">
        <v>4</v>
      </c>
      <c r="R665" t="s">
        <v>1962</v>
      </c>
    </row>
    <row r="666" spans="1:18" x14ac:dyDescent="0.35">
      <c r="A666" t="s">
        <v>695</v>
      </c>
      <c r="B666" t="s">
        <v>25</v>
      </c>
      <c r="C666" t="s">
        <v>62</v>
      </c>
      <c r="D666" t="s">
        <v>1922</v>
      </c>
      <c r="E666" s="3">
        <v>40</v>
      </c>
      <c r="F666" t="s">
        <v>1813</v>
      </c>
      <c r="G666" t="s">
        <v>1824</v>
      </c>
      <c r="H666" t="s">
        <v>19</v>
      </c>
      <c r="I666" s="1" t="s">
        <v>1143</v>
      </c>
      <c r="J666" s="7">
        <v>3</v>
      </c>
      <c r="K666" s="7">
        <v>2022</v>
      </c>
      <c r="L666" s="3">
        <v>109423.05</v>
      </c>
      <c r="M666" s="9" t="s">
        <v>1960</v>
      </c>
      <c r="N666" s="2" t="s">
        <v>1857</v>
      </c>
      <c r="O666" s="3">
        <v>1128981230</v>
      </c>
      <c r="P666" t="s">
        <v>12</v>
      </c>
      <c r="Q666">
        <v>2</v>
      </c>
      <c r="R666" t="s">
        <v>1963</v>
      </c>
    </row>
    <row r="667" spans="1:18" x14ac:dyDescent="0.35">
      <c r="A667" t="s">
        <v>696</v>
      </c>
      <c r="B667" t="s">
        <v>34</v>
      </c>
      <c r="C667" t="s">
        <v>18</v>
      </c>
      <c r="D667" t="s">
        <v>1916</v>
      </c>
      <c r="E667" s="3">
        <v>35</v>
      </c>
      <c r="F667" t="s">
        <v>1817</v>
      </c>
      <c r="G667" t="s">
        <v>1814</v>
      </c>
      <c r="H667" t="s">
        <v>23</v>
      </c>
      <c r="I667" s="1" t="s">
        <v>1317</v>
      </c>
      <c r="J667" s="7">
        <v>2</v>
      </c>
      <c r="K667" s="7">
        <v>2023</v>
      </c>
      <c r="L667" s="3">
        <v>70394.94</v>
      </c>
      <c r="M667" s="9" t="s">
        <v>1959</v>
      </c>
      <c r="N667" s="2" t="s">
        <v>1851</v>
      </c>
      <c r="O667" s="3">
        <v>7955633184</v>
      </c>
      <c r="P667" t="s">
        <v>15</v>
      </c>
      <c r="Q667">
        <v>4</v>
      </c>
      <c r="R667" t="s">
        <v>1963</v>
      </c>
    </row>
    <row r="668" spans="1:18" x14ac:dyDescent="0.35">
      <c r="A668" t="s">
        <v>697</v>
      </c>
      <c r="B668" t="s">
        <v>42</v>
      </c>
      <c r="C668" t="s">
        <v>50</v>
      </c>
      <c r="D668" t="s">
        <v>1930</v>
      </c>
      <c r="E668" s="3">
        <v>35</v>
      </c>
      <c r="F668" t="s">
        <v>1815</v>
      </c>
      <c r="G668" t="s">
        <v>1814</v>
      </c>
      <c r="H668" t="s">
        <v>19</v>
      </c>
      <c r="I668" s="1" t="s">
        <v>1616</v>
      </c>
      <c r="J668" s="7">
        <v>2</v>
      </c>
      <c r="K668" s="7">
        <v>2023</v>
      </c>
      <c r="L668" s="3">
        <v>86465.5</v>
      </c>
      <c r="M668" s="9" t="s">
        <v>1960</v>
      </c>
      <c r="N668" s="2" t="s">
        <v>1865</v>
      </c>
      <c r="O668" s="3">
        <v>7481700665</v>
      </c>
      <c r="P668" t="s">
        <v>27</v>
      </c>
      <c r="Q668">
        <v>1</v>
      </c>
      <c r="R668" t="s">
        <v>1962</v>
      </c>
    </row>
    <row r="669" spans="1:18" x14ac:dyDescent="0.35">
      <c r="A669" t="s">
        <v>698</v>
      </c>
      <c r="B669" t="s">
        <v>34</v>
      </c>
      <c r="C669" t="s">
        <v>14</v>
      </c>
      <c r="D669" t="s">
        <v>1918</v>
      </c>
      <c r="E669" s="3">
        <v>30</v>
      </c>
      <c r="F669" t="s">
        <v>1819</v>
      </c>
      <c r="G669" t="s">
        <v>1822</v>
      </c>
      <c r="H669" t="s">
        <v>19</v>
      </c>
      <c r="I669" s="1" t="s">
        <v>1617</v>
      </c>
      <c r="J669" s="7">
        <v>4</v>
      </c>
      <c r="K669" s="7">
        <v>2021</v>
      </c>
      <c r="L669" s="3">
        <v>96341.58</v>
      </c>
      <c r="M669" s="9" t="s">
        <v>1960</v>
      </c>
      <c r="N669" s="2" t="s">
        <v>1853</v>
      </c>
      <c r="O669" s="3">
        <v>1554164315</v>
      </c>
      <c r="P669" t="s">
        <v>15</v>
      </c>
      <c r="Q669">
        <v>4</v>
      </c>
      <c r="R669" t="s">
        <v>1963</v>
      </c>
    </row>
    <row r="670" spans="1:18" x14ac:dyDescent="0.35">
      <c r="A670" t="s">
        <v>699</v>
      </c>
      <c r="B670" t="s">
        <v>9</v>
      </c>
      <c r="C670" t="s">
        <v>18</v>
      </c>
      <c r="D670" t="s">
        <v>1899</v>
      </c>
      <c r="E670" s="3">
        <v>30</v>
      </c>
      <c r="F670" t="s">
        <v>1817</v>
      </c>
      <c r="G670" t="s">
        <v>1820</v>
      </c>
      <c r="H670" t="s">
        <v>11</v>
      </c>
      <c r="I670" s="1" t="s">
        <v>1618</v>
      </c>
      <c r="J670" s="7">
        <v>5</v>
      </c>
      <c r="K670" s="7">
        <v>2020</v>
      </c>
      <c r="L670" s="3">
        <v>54465.47</v>
      </c>
      <c r="M670" s="9" t="s">
        <v>1958</v>
      </c>
      <c r="N670" s="2" t="s">
        <v>1834</v>
      </c>
      <c r="O670" s="3">
        <v>7045023289</v>
      </c>
      <c r="P670" t="s">
        <v>15</v>
      </c>
      <c r="Q670">
        <v>4</v>
      </c>
      <c r="R670" t="s">
        <v>1963</v>
      </c>
    </row>
    <row r="671" spans="1:18" x14ac:dyDescent="0.35">
      <c r="A671" t="s">
        <v>700</v>
      </c>
      <c r="B671" t="s">
        <v>17</v>
      </c>
      <c r="C671" t="s">
        <v>10</v>
      </c>
      <c r="D671" t="s">
        <v>1928</v>
      </c>
      <c r="E671" s="3">
        <v>25</v>
      </c>
      <c r="F671" t="s">
        <v>1815</v>
      </c>
      <c r="G671" t="s">
        <v>1824</v>
      </c>
      <c r="H671" t="s">
        <v>11</v>
      </c>
      <c r="I671" s="1" t="s">
        <v>1619</v>
      </c>
      <c r="J671" s="7">
        <v>5</v>
      </c>
      <c r="K671" s="7">
        <v>2020</v>
      </c>
      <c r="L671" s="3">
        <v>68371.66</v>
      </c>
      <c r="M671" s="9" t="s">
        <v>1959</v>
      </c>
      <c r="N671" s="2" t="s">
        <v>1863</v>
      </c>
      <c r="O671" s="3">
        <v>2822700933</v>
      </c>
      <c r="P671" t="s">
        <v>27</v>
      </c>
      <c r="Q671">
        <v>1</v>
      </c>
      <c r="R671" t="s">
        <v>1963</v>
      </c>
    </row>
    <row r="672" spans="1:18" x14ac:dyDescent="0.35">
      <c r="A672" t="s">
        <v>701</v>
      </c>
      <c r="B672" t="s">
        <v>42</v>
      </c>
      <c r="C672" t="s">
        <v>62</v>
      </c>
      <c r="D672" t="s">
        <v>1921</v>
      </c>
      <c r="E672" s="3">
        <v>35</v>
      </c>
      <c r="F672" t="s">
        <v>1817</v>
      </c>
      <c r="G672" t="s">
        <v>1822</v>
      </c>
      <c r="H672" t="s">
        <v>19</v>
      </c>
      <c r="I672" s="1" t="s">
        <v>1243</v>
      </c>
      <c r="J672" s="7">
        <v>4</v>
      </c>
      <c r="K672" s="7">
        <v>2021</v>
      </c>
      <c r="L672" s="3">
        <v>81021.23</v>
      </c>
      <c r="M672" s="9" t="s">
        <v>1959</v>
      </c>
      <c r="N672" s="2" t="s">
        <v>1856</v>
      </c>
      <c r="O672" s="3">
        <v>5962622821</v>
      </c>
      <c r="P672" t="s">
        <v>20</v>
      </c>
      <c r="Q672">
        <v>3</v>
      </c>
      <c r="R672" t="s">
        <v>1963</v>
      </c>
    </row>
    <row r="673" spans="1:18" x14ac:dyDescent="0.35">
      <c r="A673" t="s">
        <v>702</v>
      </c>
      <c r="B673" t="s">
        <v>34</v>
      </c>
      <c r="C673" t="s">
        <v>50</v>
      </c>
      <c r="D673" t="s">
        <v>1954</v>
      </c>
      <c r="E673" s="3">
        <v>25</v>
      </c>
      <c r="F673" t="s">
        <v>1819</v>
      </c>
      <c r="G673" t="s">
        <v>1818</v>
      </c>
      <c r="H673" t="s">
        <v>23</v>
      </c>
      <c r="I673" s="1" t="s">
        <v>1620</v>
      </c>
      <c r="J673" s="7">
        <v>1</v>
      </c>
      <c r="K673" s="7">
        <v>2024</v>
      </c>
      <c r="L673" s="3">
        <v>114069.07</v>
      </c>
      <c r="M673" s="9" t="s">
        <v>1960</v>
      </c>
      <c r="N673" s="2" t="s">
        <v>1889</v>
      </c>
      <c r="O673" s="3">
        <v>5120734653</v>
      </c>
      <c r="P673" t="s">
        <v>20</v>
      </c>
      <c r="Q673">
        <v>3</v>
      </c>
      <c r="R673" t="s">
        <v>1962</v>
      </c>
    </row>
    <row r="674" spans="1:18" x14ac:dyDescent="0.35">
      <c r="A674" t="s">
        <v>703</v>
      </c>
      <c r="B674" t="s">
        <v>40</v>
      </c>
      <c r="C674" t="s">
        <v>50</v>
      </c>
      <c r="D674" t="s">
        <v>1920</v>
      </c>
      <c r="E674" s="3">
        <v>30</v>
      </c>
      <c r="F674" t="s">
        <v>1823</v>
      </c>
      <c r="G674" t="s">
        <v>1824</v>
      </c>
      <c r="H674" t="s">
        <v>23</v>
      </c>
      <c r="I674" s="1" t="s">
        <v>1621</v>
      </c>
      <c r="J674" s="7">
        <v>5</v>
      </c>
      <c r="K674" s="7">
        <v>2020</v>
      </c>
      <c r="L674" s="3">
        <v>117867.96</v>
      </c>
      <c r="M674" s="9" t="s">
        <v>1960</v>
      </c>
      <c r="N674" s="2" t="s">
        <v>1855</v>
      </c>
      <c r="O674" s="3">
        <v>9500507025</v>
      </c>
      <c r="P674" t="s">
        <v>27</v>
      </c>
      <c r="Q674">
        <v>1</v>
      </c>
      <c r="R674" t="s">
        <v>1963</v>
      </c>
    </row>
    <row r="675" spans="1:18" x14ac:dyDescent="0.35">
      <c r="A675" t="s">
        <v>704</v>
      </c>
      <c r="B675" t="s">
        <v>34</v>
      </c>
      <c r="C675" t="s">
        <v>50</v>
      </c>
      <c r="D675" t="s">
        <v>1954</v>
      </c>
      <c r="E675" s="3">
        <v>30</v>
      </c>
      <c r="F675" t="s">
        <v>1821</v>
      </c>
      <c r="G675" t="s">
        <v>1820</v>
      </c>
      <c r="H675" t="s">
        <v>19</v>
      </c>
      <c r="I675" s="1" t="s">
        <v>1599</v>
      </c>
      <c r="J675" s="7">
        <v>1</v>
      </c>
      <c r="K675" s="7">
        <v>2024</v>
      </c>
      <c r="L675" s="3">
        <v>94509.58</v>
      </c>
      <c r="M675" s="9" t="s">
        <v>1960</v>
      </c>
      <c r="N675" s="2" t="s">
        <v>1889</v>
      </c>
      <c r="O675" s="3">
        <v>869822104</v>
      </c>
      <c r="P675" t="s">
        <v>12</v>
      </c>
      <c r="Q675">
        <v>2</v>
      </c>
      <c r="R675" t="s">
        <v>1963</v>
      </c>
    </row>
    <row r="676" spans="1:18" x14ac:dyDescent="0.35">
      <c r="A676" t="s">
        <v>705</v>
      </c>
      <c r="B676" t="s">
        <v>22</v>
      </c>
      <c r="C676" t="s">
        <v>14</v>
      </c>
      <c r="D676" t="s">
        <v>1927</v>
      </c>
      <c r="E676" s="3">
        <v>35</v>
      </c>
      <c r="F676" t="s">
        <v>1815</v>
      </c>
      <c r="G676" t="s">
        <v>1824</v>
      </c>
      <c r="H676" t="s">
        <v>11</v>
      </c>
      <c r="I676" s="1" t="s">
        <v>1061</v>
      </c>
      <c r="J676" s="7">
        <v>1</v>
      </c>
      <c r="K676" s="7">
        <v>2024</v>
      </c>
      <c r="L676" s="3">
        <v>56268.78</v>
      </c>
      <c r="M676" s="9" t="s">
        <v>1958</v>
      </c>
      <c r="N676" s="2" t="s">
        <v>1862</v>
      </c>
      <c r="O676" s="3">
        <v>3161177686</v>
      </c>
      <c r="P676" t="s">
        <v>15</v>
      </c>
      <c r="Q676">
        <v>4</v>
      </c>
      <c r="R676" t="s">
        <v>1963</v>
      </c>
    </row>
    <row r="677" spans="1:18" x14ac:dyDescent="0.35">
      <c r="A677" t="s">
        <v>706</v>
      </c>
      <c r="B677" t="s">
        <v>42</v>
      </c>
      <c r="C677" t="s">
        <v>18</v>
      </c>
      <c r="D677" t="s">
        <v>1906</v>
      </c>
      <c r="E677" s="3">
        <v>35</v>
      </c>
      <c r="F677" t="s">
        <v>1817</v>
      </c>
      <c r="G677" t="s">
        <v>1814</v>
      </c>
      <c r="H677" t="s">
        <v>11</v>
      </c>
      <c r="I677" s="1" t="s">
        <v>1622</v>
      </c>
      <c r="J677" s="7">
        <v>5</v>
      </c>
      <c r="K677" s="7">
        <v>2020</v>
      </c>
      <c r="L677" s="3">
        <v>86632.14</v>
      </c>
      <c r="M677" s="9" t="s">
        <v>1960</v>
      </c>
      <c r="N677" s="2" t="s">
        <v>1841</v>
      </c>
      <c r="O677" s="3">
        <v>2904774257</v>
      </c>
      <c r="P677" t="s">
        <v>27</v>
      </c>
      <c r="Q677">
        <v>1</v>
      </c>
      <c r="R677" t="s">
        <v>1962</v>
      </c>
    </row>
    <row r="678" spans="1:18" x14ac:dyDescent="0.35">
      <c r="A678" t="s">
        <v>707</v>
      </c>
      <c r="B678" t="s">
        <v>34</v>
      </c>
      <c r="C678" t="s">
        <v>14</v>
      </c>
      <c r="D678" t="s">
        <v>1918</v>
      </c>
      <c r="E678" s="3">
        <v>35</v>
      </c>
      <c r="F678" t="s">
        <v>1823</v>
      </c>
      <c r="G678" t="s">
        <v>1820</v>
      </c>
      <c r="H678" t="s">
        <v>19</v>
      </c>
      <c r="I678" s="1" t="s">
        <v>1419</v>
      </c>
      <c r="J678" s="7">
        <v>5</v>
      </c>
      <c r="K678" s="7">
        <v>2020</v>
      </c>
      <c r="L678" s="3">
        <v>98143.9</v>
      </c>
      <c r="M678" s="9" t="s">
        <v>1960</v>
      </c>
      <c r="N678" s="2" t="s">
        <v>1853</v>
      </c>
      <c r="O678" s="3">
        <v>5917793237</v>
      </c>
      <c r="P678" t="s">
        <v>15</v>
      </c>
      <c r="Q678">
        <v>4</v>
      </c>
      <c r="R678" t="s">
        <v>1963</v>
      </c>
    </row>
    <row r="679" spans="1:18" x14ac:dyDescent="0.35">
      <c r="A679" t="s">
        <v>708</v>
      </c>
      <c r="B679" t="s">
        <v>40</v>
      </c>
      <c r="C679" t="s">
        <v>29</v>
      </c>
      <c r="D679" t="s">
        <v>1942</v>
      </c>
      <c r="E679" s="3">
        <v>35</v>
      </c>
      <c r="F679" t="s">
        <v>1819</v>
      </c>
      <c r="G679" t="s">
        <v>1820</v>
      </c>
      <c r="H679" t="s">
        <v>23</v>
      </c>
      <c r="I679" s="1" t="s">
        <v>1397</v>
      </c>
      <c r="J679" s="7">
        <v>2</v>
      </c>
      <c r="K679" s="7">
        <v>2023</v>
      </c>
      <c r="L679" s="3">
        <v>0</v>
      </c>
      <c r="M679" s="9" t="s">
        <v>1958</v>
      </c>
      <c r="N679" s="2" t="s">
        <v>1877</v>
      </c>
      <c r="O679" s="3">
        <v>2231164912</v>
      </c>
      <c r="P679" t="s">
        <v>12</v>
      </c>
      <c r="Q679">
        <v>2</v>
      </c>
      <c r="R679" t="s">
        <v>1962</v>
      </c>
    </row>
    <row r="680" spans="1:18" x14ac:dyDescent="0.35">
      <c r="A680" t="s">
        <v>709</v>
      </c>
      <c r="B680" t="s">
        <v>25</v>
      </c>
      <c r="C680" t="s">
        <v>35</v>
      </c>
      <c r="D680" t="s">
        <v>1944</v>
      </c>
      <c r="E680" s="3">
        <v>30</v>
      </c>
      <c r="F680" t="s">
        <v>1815</v>
      </c>
      <c r="G680" t="s">
        <v>1824</v>
      </c>
      <c r="H680" t="s">
        <v>23</v>
      </c>
      <c r="I680" s="1" t="s">
        <v>1623</v>
      </c>
      <c r="J680" s="7">
        <v>3</v>
      </c>
      <c r="K680" s="7">
        <v>2022</v>
      </c>
      <c r="L680" s="3">
        <v>67492.73</v>
      </c>
      <c r="M680" s="9" t="s">
        <v>1959</v>
      </c>
      <c r="N680" s="2" t="s">
        <v>1879</v>
      </c>
      <c r="O680" s="3">
        <v>3424579888</v>
      </c>
      <c r="P680" t="s">
        <v>15</v>
      </c>
      <c r="Q680">
        <v>4</v>
      </c>
      <c r="R680" t="s">
        <v>1962</v>
      </c>
    </row>
    <row r="681" spans="1:18" x14ac:dyDescent="0.35">
      <c r="A681" t="s">
        <v>710</v>
      </c>
      <c r="B681" t="s">
        <v>42</v>
      </c>
      <c r="C681" t="s">
        <v>35</v>
      </c>
      <c r="D681" t="s">
        <v>1919</v>
      </c>
      <c r="E681" s="3">
        <v>40</v>
      </c>
      <c r="F681" t="s">
        <v>1817</v>
      </c>
      <c r="G681" t="s">
        <v>1814</v>
      </c>
      <c r="H681" t="s">
        <v>11</v>
      </c>
      <c r="I681" s="1" t="s">
        <v>1624</v>
      </c>
      <c r="J681" s="7">
        <v>3</v>
      </c>
      <c r="K681" s="7">
        <v>2022</v>
      </c>
      <c r="L681" s="3">
        <v>93772.61</v>
      </c>
      <c r="M681" s="9" t="s">
        <v>1960</v>
      </c>
      <c r="N681" s="2" t="s">
        <v>1854</v>
      </c>
      <c r="O681" s="3">
        <v>4256529059</v>
      </c>
      <c r="P681" t="s">
        <v>27</v>
      </c>
      <c r="Q681">
        <v>1</v>
      </c>
      <c r="R681" t="s">
        <v>1963</v>
      </c>
    </row>
    <row r="682" spans="1:18" x14ac:dyDescent="0.35">
      <c r="A682" t="s">
        <v>711</v>
      </c>
      <c r="B682" t="s">
        <v>22</v>
      </c>
      <c r="C682" t="s">
        <v>29</v>
      </c>
      <c r="D682" t="s">
        <v>1946</v>
      </c>
      <c r="E682" s="3">
        <v>35</v>
      </c>
      <c r="F682" t="s">
        <v>1813</v>
      </c>
      <c r="G682" t="s">
        <v>1818</v>
      </c>
      <c r="H682" t="s">
        <v>19</v>
      </c>
      <c r="I682" s="1" t="s">
        <v>1625</v>
      </c>
      <c r="J682" s="7">
        <v>1</v>
      </c>
      <c r="K682" s="7">
        <v>2024</v>
      </c>
      <c r="L682" s="3">
        <v>68817.539999999994</v>
      </c>
      <c r="M682" s="9" t="s">
        <v>1959</v>
      </c>
      <c r="N682" s="2" t="s">
        <v>1881</v>
      </c>
      <c r="O682" s="3">
        <v>3202032649</v>
      </c>
      <c r="P682" t="s">
        <v>15</v>
      </c>
      <c r="Q682">
        <v>4</v>
      </c>
      <c r="R682" t="s">
        <v>1963</v>
      </c>
    </row>
    <row r="683" spans="1:18" x14ac:dyDescent="0.35">
      <c r="A683" t="s">
        <v>712</v>
      </c>
      <c r="B683" t="s">
        <v>9</v>
      </c>
      <c r="C683" t="s">
        <v>18</v>
      </c>
      <c r="D683" t="s">
        <v>1899</v>
      </c>
      <c r="E683" s="3">
        <v>30</v>
      </c>
      <c r="F683" t="s">
        <v>1817</v>
      </c>
      <c r="G683" t="s">
        <v>1814</v>
      </c>
      <c r="H683" t="s">
        <v>11</v>
      </c>
      <c r="I683" s="1" t="s">
        <v>1626</v>
      </c>
      <c r="J683" s="7">
        <v>2</v>
      </c>
      <c r="K683" s="7">
        <v>2023</v>
      </c>
      <c r="L683" s="3">
        <v>81874.009999999995</v>
      </c>
      <c r="M683" s="9" t="s">
        <v>1959</v>
      </c>
      <c r="N683" s="2" t="s">
        <v>1834</v>
      </c>
      <c r="O683" s="3">
        <v>9775396736</v>
      </c>
      <c r="P683" t="s">
        <v>20</v>
      </c>
      <c r="Q683">
        <v>3</v>
      </c>
      <c r="R683" t="s">
        <v>1962</v>
      </c>
    </row>
    <row r="684" spans="1:18" x14ac:dyDescent="0.35">
      <c r="A684" t="s">
        <v>713</v>
      </c>
      <c r="B684" t="s">
        <v>40</v>
      </c>
      <c r="C684" t="s">
        <v>10</v>
      </c>
      <c r="D684" t="s">
        <v>1952</v>
      </c>
      <c r="E684" s="3">
        <v>30</v>
      </c>
      <c r="F684" t="s">
        <v>1823</v>
      </c>
      <c r="G684" t="s">
        <v>1816</v>
      </c>
      <c r="H684" t="s">
        <v>11</v>
      </c>
      <c r="I684" s="1" t="s">
        <v>1627</v>
      </c>
      <c r="J684" s="7">
        <v>5</v>
      </c>
      <c r="K684" s="7">
        <v>2020</v>
      </c>
      <c r="L684" s="3">
        <v>117880.14</v>
      </c>
      <c r="M684" s="9" t="s">
        <v>1960</v>
      </c>
      <c r="N684" s="2" t="s">
        <v>1887</v>
      </c>
      <c r="O684" s="3">
        <v>9487148551</v>
      </c>
      <c r="P684" t="s">
        <v>12</v>
      </c>
      <c r="Q684">
        <v>2</v>
      </c>
      <c r="R684" t="s">
        <v>1963</v>
      </c>
    </row>
    <row r="685" spans="1:18" x14ac:dyDescent="0.35">
      <c r="A685" t="s">
        <v>714</v>
      </c>
      <c r="B685" t="s">
        <v>9</v>
      </c>
      <c r="C685" t="s">
        <v>14</v>
      </c>
      <c r="D685" t="s">
        <v>1893</v>
      </c>
      <c r="E685" s="3">
        <v>35</v>
      </c>
      <c r="F685" t="s">
        <v>1823</v>
      </c>
      <c r="G685" t="s">
        <v>1822</v>
      </c>
      <c r="H685" t="s">
        <v>19</v>
      </c>
      <c r="I685" s="1" t="s">
        <v>1091</v>
      </c>
      <c r="J685" s="7">
        <v>3</v>
      </c>
      <c r="K685" s="7">
        <v>2022</v>
      </c>
      <c r="L685" s="3">
        <v>100897.49</v>
      </c>
      <c r="M685" s="9" t="s">
        <v>1960</v>
      </c>
      <c r="N685" s="2" t="s">
        <v>1828</v>
      </c>
      <c r="O685" s="3">
        <v>4578715840</v>
      </c>
      <c r="P685" t="s">
        <v>12</v>
      </c>
      <c r="Q685">
        <v>2</v>
      </c>
      <c r="R685" t="s">
        <v>1962</v>
      </c>
    </row>
    <row r="686" spans="1:18" x14ac:dyDescent="0.35">
      <c r="A686" t="s">
        <v>715</v>
      </c>
      <c r="B686" t="s">
        <v>34</v>
      </c>
      <c r="C686" t="s">
        <v>62</v>
      </c>
      <c r="D686" t="s">
        <v>1934</v>
      </c>
      <c r="E686" s="3">
        <v>25</v>
      </c>
      <c r="F686" t="s">
        <v>1815</v>
      </c>
      <c r="G686" t="s">
        <v>1822</v>
      </c>
      <c r="H686" t="s">
        <v>23</v>
      </c>
      <c r="I686" s="1" t="s">
        <v>1628</v>
      </c>
      <c r="J686" s="7">
        <v>3</v>
      </c>
      <c r="K686" s="7">
        <v>2022</v>
      </c>
      <c r="L686" s="3">
        <v>71810.37</v>
      </c>
      <c r="M686" s="9" t="s">
        <v>1959</v>
      </c>
      <c r="N686" s="2" t="s">
        <v>1869</v>
      </c>
      <c r="O686" s="3">
        <v>5608213710</v>
      </c>
      <c r="P686" t="s">
        <v>12</v>
      </c>
      <c r="Q686">
        <v>2</v>
      </c>
      <c r="R686" t="s">
        <v>1962</v>
      </c>
    </row>
    <row r="687" spans="1:18" x14ac:dyDescent="0.35">
      <c r="A687" t="s">
        <v>716</v>
      </c>
      <c r="B687" t="s">
        <v>25</v>
      </c>
      <c r="C687" t="s">
        <v>50</v>
      </c>
      <c r="D687" t="s">
        <v>1914</v>
      </c>
      <c r="E687" s="3">
        <v>40</v>
      </c>
      <c r="F687" t="s">
        <v>1813</v>
      </c>
      <c r="G687" t="s">
        <v>1816</v>
      </c>
      <c r="H687" t="s">
        <v>23</v>
      </c>
      <c r="I687" s="1" t="s">
        <v>1629</v>
      </c>
      <c r="J687" s="7">
        <v>5</v>
      </c>
      <c r="K687" s="7">
        <v>2020</v>
      </c>
      <c r="L687" s="3">
        <v>109048.24</v>
      </c>
      <c r="M687" s="9" t="s">
        <v>1960</v>
      </c>
      <c r="N687" s="2" t="s">
        <v>1849</v>
      </c>
      <c r="O687" s="3">
        <v>8425476817</v>
      </c>
      <c r="P687" t="s">
        <v>27</v>
      </c>
      <c r="Q687">
        <v>1</v>
      </c>
      <c r="R687" t="s">
        <v>1963</v>
      </c>
    </row>
    <row r="688" spans="1:18" x14ac:dyDescent="0.35">
      <c r="A688" t="s">
        <v>717</v>
      </c>
      <c r="B688" t="s">
        <v>17</v>
      </c>
      <c r="C688" t="s">
        <v>50</v>
      </c>
      <c r="D688" t="s">
        <v>1929</v>
      </c>
      <c r="E688" s="3">
        <v>35</v>
      </c>
      <c r="F688" t="s">
        <v>1815</v>
      </c>
      <c r="G688" t="s">
        <v>1816</v>
      </c>
      <c r="H688" t="s">
        <v>19</v>
      </c>
      <c r="I688" s="1" t="s">
        <v>1630</v>
      </c>
      <c r="J688" s="7">
        <v>3</v>
      </c>
      <c r="K688" s="7">
        <v>2022</v>
      </c>
      <c r="L688" s="3">
        <v>62712.26</v>
      </c>
      <c r="M688" s="9" t="s">
        <v>1959</v>
      </c>
      <c r="N688" s="2" t="s">
        <v>1864</v>
      </c>
      <c r="O688" s="3">
        <v>2683230357</v>
      </c>
      <c r="P688" t="s">
        <v>12</v>
      </c>
      <c r="Q688">
        <v>2</v>
      </c>
      <c r="R688" t="s">
        <v>1963</v>
      </c>
    </row>
    <row r="689" spans="1:18" x14ac:dyDescent="0.35">
      <c r="A689" t="s">
        <v>718</v>
      </c>
      <c r="B689" t="s">
        <v>22</v>
      </c>
      <c r="C689" t="s">
        <v>18</v>
      </c>
      <c r="D689" t="s">
        <v>1945</v>
      </c>
      <c r="E689" s="3">
        <v>40</v>
      </c>
      <c r="F689" t="s">
        <v>1819</v>
      </c>
      <c r="G689" t="s">
        <v>1816</v>
      </c>
      <c r="H689" t="s">
        <v>19</v>
      </c>
      <c r="I689" s="1" t="s">
        <v>1080</v>
      </c>
      <c r="J689" s="7">
        <v>4</v>
      </c>
      <c r="K689" s="7">
        <v>2021</v>
      </c>
      <c r="L689" s="3">
        <v>76935.850000000006</v>
      </c>
      <c r="M689" s="9" t="s">
        <v>1959</v>
      </c>
      <c r="N689" s="2" t="s">
        <v>1880</v>
      </c>
      <c r="O689" s="3">
        <v>9298808582</v>
      </c>
      <c r="P689" t="s">
        <v>20</v>
      </c>
      <c r="Q689">
        <v>3</v>
      </c>
      <c r="R689" t="s">
        <v>1962</v>
      </c>
    </row>
    <row r="690" spans="1:18" x14ac:dyDescent="0.35">
      <c r="A690" t="s">
        <v>719</v>
      </c>
      <c r="B690" t="s">
        <v>37</v>
      </c>
      <c r="C690" t="s">
        <v>10</v>
      </c>
      <c r="D690" t="s">
        <v>1903</v>
      </c>
      <c r="E690" s="3">
        <v>25</v>
      </c>
      <c r="F690" t="s">
        <v>1817</v>
      </c>
      <c r="G690" t="s">
        <v>1820</v>
      </c>
      <c r="H690" t="s">
        <v>19</v>
      </c>
      <c r="I690" s="1" t="s">
        <v>1631</v>
      </c>
      <c r="J690" s="7">
        <v>1</v>
      </c>
      <c r="K690" s="7">
        <v>2024</v>
      </c>
      <c r="L690" s="3">
        <v>56577.22</v>
      </c>
      <c r="M690" s="9" t="s">
        <v>1958</v>
      </c>
      <c r="N690" s="2" t="s">
        <v>1838</v>
      </c>
      <c r="O690" s="3">
        <v>8252129327</v>
      </c>
      <c r="P690" t="s">
        <v>27</v>
      </c>
      <c r="Q690">
        <v>1</v>
      </c>
      <c r="R690" t="s">
        <v>1962</v>
      </c>
    </row>
    <row r="691" spans="1:18" x14ac:dyDescent="0.35">
      <c r="A691" t="s">
        <v>720</v>
      </c>
      <c r="B691" t="s">
        <v>37</v>
      </c>
      <c r="C691" t="s">
        <v>35</v>
      </c>
      <c r="D691" t="s">
        <v>1937</v>
      </c>
      <c r="E691" s="3">
        <v>40</v>
      </c>
      <c r="F691" t="s">
        <v>1815</v>
      </c>
      <c r="G691" t="s">
        <v>1818</v>
      </c>
      <c r="H691" t="s">
        <v>23</v>
      </c>
      <c r="I691" s="1" t="s">
        <v>1632</v>
      </c>
      <c r="J691" s="7">
        <v>4</v>
      </c>
      <c r="K691" s="7">
        <v>2021</v>
      </c>
      <c r="L691" s="3">
        <v>61102.8</v>
      </c>
      <c r="M691" s="9" t="s">
        <v>1959</v>
      </c>
      <c r="N691" s="2" t="s">
        <v>1872</v>
      </c>
      <c r="O691" s="3">
        <v>9634064685</v>
      </c>
      <c r="P691" t="s">
        <v>20</v>
      </c>
      <c r="Q691">
        <v>3</v>
      </c>
      <c r="R691" t="s">
        <v>1962</v>
      </c>
    </row>
    <row r="692" spans="1:18" x14ac:dyDescent="0.35">
      <c r="A692" t="s">
        <v>721</v>
      </c>
      <c r="B692" t="s">
        <v>9</v>
      </c>
      <c r="C692" t="s">
        <v>35</v>
      </c>
      <c r="D692" t="s">
        <v>1935</v>
      </c>
      <c r="E692" s="3">
        <v>35</v>
      </c>
      <c r="F692" t="s">
        <v>1815</v>
      </c>
      <c r="G692" t="s">
        <v>1818</v>
      </c>
      <c r="H692" t="s">
        <v>23</v>
      </c>
      <c r="I692" s="1" t="s">
        <v>1633</v>
      </c>
      <c r="J692" s="7">
        <v>4</v>
      </c>
      <c r="K692" s="7">
        <v>2021</v>
      </c>
      <c r="L692" s="3">
        <v>75229.87</v>
      </c>
      <c r="M692" s="9" t="s">
        <v>1959</v>
      </c>
      <c r="N692" s="2" t="s">
        <v>1870</v>
      </c>
      <c r="O692" s="3">
        <v>7752401483</v>
      </c>
      <c r="P692" t="s">
        <v>15</v>
      </c>
      <c r="Q692">
        <v>4</v>
      </c>
      <c r="R692" t="s">
        <v>1962</v>
      </c>
    </row>
    <row r="693" spans="1:18" x14ac:dyDescent="0.35">
      <c r="A693" t="s">
        <v>722</v>
      </c>
      <c r="B693" t="s">
        <v>37</v>
      </c>
      <c r="C693" t="s">
        <v>50</v>
      </c>
      <c r="D693" t="s">
        <v>1913</v>
      </c>
      <c r="E693" s="3">
        <v>25</v>
      </c>
      <c r="F693" t="s">
        <v>1817</v>
      </c>
      <c r="G693" t="s">
        <v>1818</v>
      </c>
      <c r="H693" t="s">
        <v>23</v>
      </c>
      <c r="I693" s="1" t="s">
        <v>1634</v>
      </c>
      <c r="J693" s="7">
        <v>4</v>
      </c>
      <c r="K693" s="7">
        <v>2021</v>
      </c>
      <c r="L693" s="3">
        <v>51054.74</v>
      </c>
      <c r="M693" s="9" t="s">
        <v>1958</v>
      </c>
      <c r="N693" s="2" t="s">
        <v>1848</v>
      </c>
      <c r="O693" s="3">
        <v>3991062271</v>
      </c>
      <c r="P693" t="s">
        <v>15</v>
      </c>
      <c r="Q693">
        <v>4</v>
      </c>
      <c r="R693" t="s">
        <v>1963</v>
      </c>
    </row>
    <row r="694" spans="1:18" x14ac:dyDescent="0.35">
      <c r="A694" t="s">
        <v>723</v>
      </c>
      <c r="B694" t="s">
        <v>9</v>
      </c>
      <c r="C694" t="s">
        <v>18</v>
      </c>
      <c r="D694" t="s">
        <v>1899</v>
      </c>
      <c r="E694" s="3">
        <v>40</v>
      </c>
      <c r="F694" t="s">
        <v>1817</v>
      </c>
      <c r="G694" t="s">
        <v>1816</v>
      </c>
      <c r="H694" t="s">
        <v>11</v>
      </c>
      <c r="I694" s="1" t="s">
        <v>1635</v>
      </c>
      <c r="J694" s="7">
        <v>2</v>
      </c>
      <c r="K694" s="7">
        <v>2023</v>
      </c>
      <c r="L694" s="3">
        <v>104843.27</v>
      </c>
      <c r="M694" s="9" t="s">
        <v>1960</v>
      </c>
      <c r="N694" s="2" t="s">
        <v>1834</v>
      </c>
      <c r="O694" s="3">
        <v>3626693350</v>
      </c>
      <c r="P694" t="s">
        <v>15</v>
      </c>
      <c r="Q694">
        <v>4</v>
      </c>
      <c r="R694" t="s">
        <v>1963</v>
      </c>
    </row>
    <row r="695" spans="1:18" x14ac:dyDescent="0.35">
      <c r="A695" t="s">
        <v>724</v>
      </c>
      <c r="B695" t="s">
        <v>34</v>
      </c>
      <c r="C695" t="s">
        <v>14</v>
      </c>
      <c r="D695" t="s">
        <v>1918</v>
      </c>
      <c r="E695" s="3">
        <v>35</v>
      </c>
      <c r="F695" t="s">
        <v>1819</v>
      </c>
      <c r="G695" t="s">
        <v>1822</v>
      </c>
      <c r="H695" t="s">
        <v>11</v>
      </c>
      <c r="I695" s="1" t="s">
        <v>1636</v>
      </c>
      <c r="J695" s="7">
        <v>3</v>
      </c>
      <c r="K695" s="7">
        <v>2022</v>
      </c>
      <c r="L695" s="3">
        <v>56398.11</v>
      </c>
      <c r="M695" s="9" t="s">
        <v>1958</v>
      </c>
      <c r="N695" s="2" t="s">
        <v>1853</v>
      </c>
      <c r="O695" s="3">
        <v>3426192371</v>
      </c>
      <c r="P695" t="s">
        <v>15</v>
      </c>
      <c r="Q695">
        <v>4</v>
      </c>
      <c r="R695" t="s">
        <v>1963</v>
      </c>
    </row>
    <row r="696" spans="1:18" x14ac:dyDescent="0.35">
      <c r="A696" t="s">
        <v>725</v>
      </c>
      <c r="B696" t="s">
        <v>17</v>
      </c>
      <c r="C696" t="s">
        <v>35</v>
      </c>
      <c r="D696" t="s">
        <v>1925</v>
      </c>
      <c r="E696" s="3">
        <v>25</v>
      </c>
      <c r="F696" t="s">
        <v>1823</v>
      </c>
      <c r="G696" t="s">
        <v>1818</v>
      </c>
      <c r="H696" t="s">
        <v>11</v>
      </c>
      <c r="I696" s="1" t="s">
        <v>1053</v>
      </c>
      <c r="J696" s="7">
        <v>2</v>
      </c>
      <c r="K696" s="7">
        <v>2023</v>
      </c>
      <c r="L696" s="3">
        <v>87544.73</v>
      </c>
      <c r="M696" s="9" t="s">
        <v>1960</v>
      </c>
      <c r="N696" s="2" t="s">
        <v>1860</v>
      </c>
      <c r="O696" s="3">
        <v>4501848196</v>
      </c>
      <c r="P696" t="s">
        <v>20</v>
      </c>
      <c r="Q696">
        <v>3</v>
      </c>
      <c r="R696" t="s">
        <v>1963</v>
      </c>
    </row>
    <row r="697" spans="1:18" x14ac:dyDescent="0.35">
      <c r="A697" t="s">
        <v>726</v>
      </c>
      <c r="B697" t="s">
        <v>40</v>
      </c>
      <c r="C697" t="s">
        <v>14</v>
      </c>
      <c r="D697" t="s">
        <v>1953</v>
      </c>
      <c r="E697" s="3">
        <v>30</v>
      </c>
      <c r="F697" t="s">
        <v>1823</v>
      </c>
      <c r="G697" t="s">
        <v>1824</v>
      </c>
      <c r="H697" t="s">
        <v>19</v>
      </c>
      <c r="I697" s="1" t="s">
        <v>1167</v>
      </c>
      <c r="J697" s="7">
        <v>1</v>
      </c>
      <c r="K697" s="7">
        <v>2024</v>
      </c>
      <c r="L697" s="3">
        <v>74312.240000000005</v>
      </c>
      <c r="M697" s="9" t="s">
        <v>1959</v>
      </c>
      <c r="N697" s="2" t="s">
        <v>1888</v>
      </c>
      <c r="O697" s="3">
        <v>3741897214</v>
      </c>
      <c r="P697" t="s">
        <v>27</v>
      </c>
      <c r="Q697">
        <v>1</v>
      </c>
      <c r="R697" t="s">
        <v>1963</v>
      </c>
    </row>
    <row r="698" spans="1:18" x14ac:dyDescent="0.35">
      <c r="A698" t="s">
        <v>727</v>
      </c>
      <c r="B698" t="s">
        <v>37</v>
      </c>
      <c r="C698" t="s">
        <v>10</v>
      </c>
      <c r="D698" t="s">
        <v>1903</v>
      </c>
      <c r="E698" s="3">
        <v>25</v>
      </c>
      <c r="F698" t="s">
        <v>1813</v>
      </c>
      <c r="G698" t="s">
        <v>1820</v>
      </c>
      <c r="H698" t="s">
        <v>23</v>
      </c>
      <c r="I698" s="1" t="s">
        <v>1637</v>
      </c>
      <c r="J698" s="7">
        <v>1</v>
      </c>
      <c r="K698" s="7">
        <v>2024</v>
      </c>
      <c r="L698" s="3">
        <v>59431.25</v>
      </c>
      <c r="M698" s="9" t="s">
        <v>1958</v>
      </c>
      <c r="N698" s="2" t="s">
        <v>1838</v>
      </c>
      <c r="O698" s="3">
        <v>4064176926</v>
      </c>
      <c r="P698" t="s">
        <v>27</v>
      </c>
      <c r="Q698">
        <v>1</v>
      </c>
      <c r="R698" t="s">
        <v>1962</v>
      </c>
    </row>
    <row r="699" spans="1:18" x14ac:dyDescent="0.35">
      <c r="A699" t="s">
        <v>728</v>
      </c>
      <c r="B699" t="s">
        <v>40</v>
      </c>
      <c r="C699" t="s">
        <v>35</v>
      </c>
      <c r="D699" t="s">
        <v>1915</v>
      </c>
      <c r="E699" s="3">
        <v>40</v>
      </c>
      <c r="F699" t="s">
        <v>1821</v>
      </c>
      <c r="G699" t="s">
        <v>1814</v>
      </c>
      <c r="H699" t="s">
        <v>19</v>
      </c>
      <c r="I699" s="1" t="s">
        <v>1638</v>
      </c>
      <c r="J699" s="7">
        <v>1</v>
      </c>
      <c r="K699" s="7">
        <v>2023</v>
      </c>
      <c r="L699" s="3">
        <v>84306.44</v>
      </c>
      <c r="M699" s="9" t="s">
        <v>1959</v>
      </c>
      <c r="N699" s="2" t="s">
        <v>1850</v>
      </c>
      <c r="O699" s="3">
        <v>4381199536</v>
      </c>
      <c r="P699" t="s">
        <v>12</v>
      </c>
      <c r="Q699">
        <v>2</v>
      </c>
      <c r="R699" t="s">
        <v>1963</v>
      </c>
    </row>
    <row r="700" spans="1:18" x14ac:dyDescent="0.35">
      <c r="A700" t="s">
        <v>729</v>
      </c>
      <c r="B700" t="s">
        <v>25</v>
      </c>
      <c r="C700" t="s">
        <v>35</v>
      </c>
      <c r="D700" t="s">
        <v>1944</v>
      </c>
      <c r="E700" s="3">
        <v>35</v>
      </c>
      <c r="F700" t="s">
        <v>1813</v>
      </c>
      <c r="G700" t="s">
        <v>1820</v>
      </c>
      <c r="H700" t="s">
        <v>23</v>
      </c>
      <c r="I700" s="1" t="s">
        <v>1482</v>
      </c>
      <c r="J700" s="7">
        <v>1</v>
      </c>
      <c r="K700" s="7">
        <v>2024</v>
      </c>
      <c r="L700" s="3">
        <v>108194.47</v>
      </c>
      <c r="M700" s="9" t="s">
        <v>1960</v>
      </c>
      <c r="N700" s="2" t="s">
        <v>1879</v>
      </c>
      <c r="O700" s="3">
        <v>6601444855</v>
      </c>
      <c r="P700" t="s">
        <v>20</v>
      </c>
      <c r="Q700">
        <v>3</v>
      </c>
      <c r="R700" t="s">
        <v>1963</v>
      </c>
    </row>
    <row r="701" spans="1:18" x14ac:dyDescent="0.35">
      <c r="A701" t="s">
        <v>730</v>
      </c>
      <c r="B701" t="s">
        <v>34</v>
      </c>
      <c r="C701" t="s">
        <v>26</v>
      </c>
      <c r="D701" t="s">
        <v>1910</v>
      </c>
      <c r="E701" s="3">
        <v>25</v>
      </c>
      <c r="F701" t="s">
        <v>1821</v>
      </c>
      <c r="G701" t="s">
        <v>1822</v>
      </c>
      <c r="H701" t="s">
        <v>23</v>
      </c>
      <c r="I701" s="1" t="s">
        <v>1391</v>
      </c>
      <c r="J701" s="7">
        <v>4</v>
      </c>
      <c r="K701" s="7">
        <v>2021</v>
      </c>
      <c r="L701" s="3">
        <v>107359.3</v>
      </c>
      <c r="M701" s="9" t="s">
        <v>1960</v>
      </c>
      <c r="N701" s="2" t="s">
        <v>1845</v>
      </c>
      <c r="O701" s="3">
        <v>4510173972</v>
      </c>
      <c r="P701" t="s">
        <v>15</v>
      </c>
      <c r="Q701">
        <v>4</v>
      </c>
      <c r="R701" t="s">
        <v>1963</v>
      </c>
    </row>
    <row r="702" spans="1:18" x14ac:dyDescent="0.35">
      <c r="A702" t="s">
        <v>731</v>
      </c>
      <c r="B702" t="s">
        <v>40</v>
      </c>
      <c r="C702" t="s">
        <v>35</v>
      </c>
      <c r="D702" t="s">
        <v>1915</v>
      </c>
      <c r="E702" s="3">
        <v>25</v>
      </c>
      <c r="F702" t="s">
        <v>1813</v>
      </c>
      <c r="G702" t="s">
        <v>1824</v>
      </c>
      <c r="H702" t="s">
        <v>23</v>
      </c>
      <c r="I702" s="1" t="s">
        <v>1639</v>
      </c>
      <c r="J702" s="7">
        <v>1</v>
      </c>
      <c r="K702" s="7">
        <v>2024</v>
      </c>
      <c r="L702" s="3">
        <v>0</v>
      </c>
      <c r="M702" s="9" t="s">
        <v>1958</v>
      </c>
      <c r="N702" s="2" t="s">
        <v>1850</v>
      </c>
      <c r="O702" s="3">
        <v>9641789968</v>
      </c>
      <c r="P702" t="s">
        <v>20</v>
      </c>
      <c r="Q702">
        <v>3</v>
      </c>
      <c r="R702" t="s">
        <v>1963</v>
      </c>
    </row>
    <row r="703" spans="1:18" x14ac:dyDescent="0.35">
      <c r="A703" t="s">
        <v>732</v>
      </c>
      <c r="B703" t="s">
        <v>25</v>
      </c>
      <c r="C703" t="s">
        <v>29</v>
      </c>
      <c r="D703" t="s">
        <v>1932</v>
      </c>
      <c r="E703" s="3">
        <v>30</v>
      </c>
      <c r="F703" t="s">
        <v>1817</v>
      </c>
      <c r="G703" t="s">
        <v>1814</v>
      </c>
      <c r="H703" t="s">
        <v>19</v>
      </c>
      <c r="I703" s="1" t="s">
        <v>1264</v>
      </c>
      <c r="J703" s="7">
        <v>5</v>
      </c>
      <c r="K703" s="7">
        <v>2020</v>
      </c>
      <c r="L703" s="3">
        <v>96080.26</v>
      </c>
      <c r="M703" s="9" t="s">
        <v>1960</v>
      </c>
      <c r="N703" s="2" t="s">
        <v>1867</v>
      </c>
      <c r="O703" s="3">
        <v>8609191910</v>
      </c>
      <c r="P703" t="s">
        <v>12</v>
      </c>
      <c r="Q703">
        <v>2</v>
      </c>
      <c r="R703" t="s">
        <v>1963</v>
      </c>
    </row>
    <row r="704" spans="1:18" x14ac:dyDescent="0.35">
      <c r="A704" t="s">
        <v>733</v>
      </c>
      <c r="B704" t="s">
        <v>42</v>
      </c>
      <c r="C704" t="s">
        <v>62</v>
      </c>
      <c r="D704" t="s">
        <v>1921</v>
      </c>
      <c r="E704" s="3">
        <v>30</v>
      </c>
      <c r="F704" t="s">
        <v>1821</v>
      </c>
      <c r="G704" t="s">
        <v>1818</v>
      </c>
      <c r="H704" t="s">
        <v>23</v>
      </c>
      <c r="I704" s="1" t="s">
        <v>1340</v>
      </c>
      <c r="J704" s="7">
        <v>1</v>
      </c>
      <c r="K704" s="7">
        <v>2024</v>
      </c>
      <c r="L704" s="3">
        <v>88602.75</v>
      </c>
      <c r="M704" s="9" t="s">
        <v>1960</v>
      </c>
      <c r="N704" s="2" t="s">
        <v>1856</v>
      </c>
      <c r="O704" s="3">
        <v>3599660576</v>
      </c>
      <c r="P704" t="s">
        <v>12</v>
      </c>
      <c r="Q704">
        <v>2</v>
      </c>
      <c r="R704" t="s">
        <v>1962</v>
      </c>
    </row>
    <row r="705" spans="1:18" x14ac:dyDescent="0.35">
      <c r="A705" t="s">
        <v>734</v>
      </c>
      <c r="B705" t="s">
        <v>25</v>
      </c>
      <c r="C705" t="s">
        <v>29</v>
      </c>
      <c r="D705" t="s">
        <v>1932</v>
      </c>
      <c r="E705" s="3">
        <v>40</v>
      </c>
      <c r="F705" t="s">
        <v>1813</v>
      </c>
      <c r="G705" t="s">
        <v>1814</v>
      </c>
      <c r="H705" t="s">
        <v>11</v>
      </c>
      <c r="I705" s="1" t="s">
        <v>1640</v>
      </c>
      <c r="J705" s="7">
        <v>5</v>
      </c>
      <c r="K705" s="7">
        <v>2020</v>
      </c>
      <c r="L705" s="3">
        <v>86624.04</v>
      </c>
      <c r="M705" s="9" t="s">
        <v>1960</v>
      </c>
      <c r="N705" s="2" t="s">
        <v>1867</v>
      </c>
      <c r="O705" s="3">
        <v>9806603919</v>
      </c>
      <c r="P705" t="s">
        <v>20</v>
      </c>
      <c r="Q705">
        <v>3</v>
      </c>
      <c r="R705" t="s">
        <v>1962</v>
      </c>
    </row>
    <row r="706" spans="1:18" x14ac:dyDescent="0.35">
      <c r="A706" t="s">
        <v>735</v>
      </c>
      <c r="B706" t="s">
        <v>34</v>
      </c>
      <c r="C706" t="s">
        <v>18</v>
      </c>
      <c r="D706" t="s">
        <v>1916</v>
      </c>
      <c r="E706" s="3">
        <v>30</v>
      </c>
      <c r="F706" t="s">
        <v>1819</v>
      </c>
      <c r="G706" t="s">
        <v>1822</v>
      </c>
      <c r="H706" t="s">
        <v>11</v>
      </c>
      <c r="I706" s="1" t="s">
        <v>1124</v>
      </c>
      <c r="J706" s="7">
        <v>3</v>
      </c>
      <c r="K706" s="7">
        <v>2022</v>
      </c>
      <c r="L706" s="3">
        <v>63413.16</v>
      </c>
      <c r="M706" s="9" t="s">
        <v>1959</v>
      </c>
      <c r="N706" s="2" t="s">
        <v>1851</v>
      </c>
      <c r="O706" s="3">
        <v>5146074554</v>
      </c>
      <c r="P706" t="s">
        <v>20</v>
      </c>
      <c r="Q706">
        <v>3</v>
      </c>
      <c r="R706" t="s">
        <v>1962</v>
      </c>
    </row>
    <row r="707" spans="1:18" x14ac:dyDescent="0.35">
      <c r="A707" t="s">
        <v>736</v>
      </c>
      <c r="B707" t="s">
        <v>42</v>
      </c>
      <c r="C707" t="s">
        <v>18</v>
      </c>
      <c r="D707" t="s">
        <v>1906</v>
      </c>
      <c r="E707" s="3">
        <v>40</v>
      </c>
      <c r="F707" t="s">
        <v>1821</v>
      </c>
      <c r="G707" t="s">
        <v>1824</v>
      </c>
      <c r="H707" t="s">
        <v>19</v>
      </c>
      <c r="I707" s="1" t="s">
        <v>1641</v>
      </c>
      <c r="J707" s="7">
        <v>2</v>
      </c>
      <c r="K707" s="7">
        <v>2023</v>
      </c>
      <c r="L707" s="3">
        <v>67915.7</v>
      </c>
      <c r="M707" s="9" t="s">
        <v>1959</v>
      </c>
      <c r="N707" s="2" t="s">
        <v>1841</v>
      </c>
      <c r="O707" s="3">
        <v>3470574237</v>
      </c>
      <c r="P707" t="s">
        <v>20</v>
      </c>
      <c r="Q707">
        <v>3</v>
      </c>
      <c r="R707" t="s">
        <v>1963</v>
      </c>
    </row>
    <row r="708" spans="1:18" x14ac:dyDescent="0.35">
      <c r="A708" t="s">
        <v>737</v>
      </c>
      <c r="B708" t="s">
        <v>9</v>
      </c>
      <c r="C708" t="s">
        <v>14</v>
      </c>
      <c r="D708" t="s">
        <v>1893</v>
      </c>
      <c r="E708" s="3">
        <v>25</v>
      </c>
      <c r="F708" t="s">
        <v>1817</v>
      </c>
      <c r="G708" t="s">
        <v>1818</v>
      </c>
      <c r="H708" t="s">
        <v>23</v>
      </c>
      <c r="I708" s="1" t="s">
        <v>1642</v>
      </c>
      <c r="J708" s="7">
        <v>0</v>
      </c>
      <c r="K708" s="7">
        <v>2024</v>
      </c>
      <c r="L708" s="3">
        <v>108245.44</v>
      </c>
      <c r="M708" s="9" t="s">
        <v>1960</v>
      </c>
      <c r="N708" s="2" t="s">
        <v>1828</v>
      </c>
      <c r="O708" s="3">
        <v>8565271558</v>
      </c>
      <c r="P708" t="s">
        <v>27</v>
      </c>
      <c r="Q708">
        <v>1</v>
      </c>
      <c r="R708" t="s">
        <v>1962</v>
      </c>
    </row>
    <row r="709" spans="1:18" x14ac:dyDescent="0.35">
      <c r="A709" t="s">
        <v>738</v>
      </c>
      <c r="B709" t="s">
        <v>17</v>
      </c>
      <c r="C709" t="s">
        <v>29</v>
      </c>
      <c r="D709" t="s">
        <v>1897</v>
      </c>
      <c r="E709" s="3">
        <v>35</v>
      </c>
      <c r="F709" t="s">
        <v>1821</v>
      </c>
      <c r="G709" t="s">
        <v>1818</v>
      </c>
      <c r="H709" t="s">
        <v>23</v>
      </c>
      <c r="I709" s="1" t="s">
        <v>1643</v>
      </c>
      <c r="J709" s="7">
        <v>1</v>
      </c>
      <c r="K709" s="7">
        <v>2024</v>
      </c>
      <c r="L709" s="3">
        <v>75834.81</v>
      </c>
      <c r="M709" s="9" t="s">
        <v>1959</v>
      </c>
      <c r="N709" s="2" t="s">
        <v>1832</v>
      </c>
      <c r="O709" s="3">
        <v>8354116596</v>
      </c>
      <c r="P709" t="s">
        <v>15</v>
      </c>
      <c r="Q709">
        <v>4</v>
      </c>
      <c r="R709" t="s">
        <v>1962</v>
      </c>
    </row>
    <row r="710" spans="1:18" x14ac:dyDescent="0.35">
      <c r="A710" t="s">
        <v>739</v>
      </c>
      <c r="B710" t="s">
        <v>22</v>
      </c>
      <c r="C710" t="s">
        <v>29</v>
      </c>
      <c r="D710" t="s">
        <v>1946</v>
      </c>
      <c r="E710" s="3">
        <v>30</v>
      </c>
      <c r="F710" t="s">
        <v>1819</v>
      </c>
      <c r="G710" t="s">
        <v>1818</v>
      </c>
      <c r="H710" t="s">
        <v>11</v>
      </c>
      <c r="I710" s="1" t="s">
        <v>1644</v>
      </c>
      <c r="J710" s="7">
        <v>1</v>
      </c>
      <c r="K710" s="7">
        <v>2024</v>
      </c>
      <c r="L710" s="3">
        <v>71273.320000000007</v>
      </c>
      <c r="M710" s="9" t="s">
        <v>1959</v>
      </c>
      <c r="N710" s="2" t="s">
        <v>1881</v>
      </c>
      <c r="O710" s="3">
        <v>2634755751</v>
      </c>
      <c r="P710" t="s">
        <v>20</v>
      </c>
      <c r="Q710">
        <v>3</v>
      </c>
      <c r="R710" t="s">
        <v>1963</v>
      </c>
    </row>
    <row r="711" spans="1:18" x14ac:dyDescent="0.35">
      <c r="A711" t="s">
        <v>740</v>
      </c>
      <c r="B711" t="s">
        <v>9</v>
      </c>
      <c r="C711" t="s">
        <v>29</v>
      </c>
      <c r="D711" t="s">
        <v>1926</v>
      </c>
      <c r="E711" s="3">
        <v>25</v>
      </c>
      <c r="F711" t="s">
        <v>1813</v>
      </c>
      <c r="G711" t="s">
        <v>1822</v>
      </c>
      <c r="H711" t="s">
        <v>19</v>
      </c>
      <c r="I711" s="1" t="s">
        <v>1645</v>
      </c>
      <c r="J711" s="7">
        <v>3</v>
      </c>
      <c r="K711" s="7">
        <v>2022</v>
      </c>
      <c r="L711" s="3">
        <v>63262.23</v>
      </c>
      <c r="M711" s="9" t="s">
        <v>1959</v>
      </c>
      <c r="N711" s="2" t="s">
        <v>1861</v>
      </c>
      <c r="O711" s="3">
        <v>2501394883</v>
      </c>
      <c r="P711" t="s">
        <v>20</v>
      </c>
      <c r="Q711">
        <v>3</v>
      </c>
      <c r="R711" t="s">
        <v>1963</v>
      </c>
    </row>
    <row r="712" spans="1:18" x14ac:dyDescent="0.35">
      <c r="A712" t="s">
        <v>741</v>
      </c>
      <c r="B712" t="s">
        <v>37</v>
      </c>
      <c r="C712" t="s">
        <v>10</v>
      </c>
      <c r="D712" t="s">
        <v>1903</v>
      </c>
      <c r="E712" s="3">
        <v>30</v>
      </c>
      <c r="F712" t="s">
        <v>1813</v>
      </c>
      <c r="G712" t="s">
        <v>1822</v>
      </c>
      <c r="H712" t="s">
        <v>19</v>
      </c>
      <c r="I712" s="1" t="s">
        <v>1128</v>
      </c>
      <c r="J712" s="7">
        <v>1</v>
      </c>
      <c r="K712" s="7">
        <v>2024</v>
      </c>
      <c r="L712" s="3">
        <v>89069.91</v>
      </c>
      <c r="M712" s="9" t="s">
        <v>1960</v>
      </c>
      <c r="N712" s="2" t="s">
        <v>1838</v>
      </c>
      <c r="O712" s="3">
        <v>8826913118</v>
      </c>
      <c r="P712" t="s">
        <v>20</v>
      </c>
      <c r="Q712">
        <v>3</v>
      </c>
      <c r="R712" t="s">
        <v>1963</v>
      </c>
    </row>
    <row r="713" spans="1:18" x14ac:dyDescent="0.35">
      <c r="A713" t="s">
        <v>742</v>
      </c>
      <c r="B713" t="s">
        <v>25</v>
      </c>
      <c r="C713" t="s">
        <v>35</v>
      </c>
      <c r="D713" t="s">
        <v>1944</v>
      </c>
      <c r="E713" s="3">
        <v>40</v>
      </c>
      <c r="F713" t="s">
        <v>1813</v>
      </c>
      <c r="G713" t="s">
        <v>1818</v>
      </c>
      <c r="H713" t="s">
        <v>23</v>
      </c>
      <c r="I713" s="1" t="s">
        <v>1096</v>
      </c>
      <c r="J713" s="7">
        <v>0</v>
      </c>
      <c r="K713" s="7">
        <v>2024</v>
      </c>
      <c r="L713" s="3">
        <v>57287.17</v>
      </c>
      <c r="M713" s="9" t="s">
        <v>1958</v>
      </c>
      <c r="N713" s="2" t="s">
        <v>1879</v>
      </c>
      <c r="O713" s="3">
        <v>6425856260</v>
      </c>
      <c r="P713" t="s">
        <v>12</v>
      </c>
      <c r="Q713">
        <v>2</v>
      </c>
      <c r="R713" t="s">
        <v>1962</v>
      </c>
    </row>
    <row r="714" spans="1:18" x14ac:dyDescent="0.35">
      <c r="A714" t="s">
        <v>743</v>
      </c>
      <c r="B714" t="s">
        <v>42</v>
      </c>
      <c r="C714" t="s">
        <v>62</v>
      </c>
      <c r="D714" t="s">
        <v>1921</v>
      </c>
      <c r="E714" s="3">
        <v>30</v>
      </c>
      <c r="F714" t="s">
        <v>1823</v>
      </c>
      <c r="G714" t="s">
        <v>1818</v>
      </c>
      <c r="H714" t="s">
        <v>11</v>
      </c>
      <c r="I714" s="1" t="s">
        <v>1125</v>
      </c>
      <c r="J714" s="7">
        <v>2</v>
      </c>
      <c r="K714" s="7">
        <v>2022</v>
      </c>
      <c r="L714" s="3">
        <v>119890.35</v>
      </c>
      <c r="M714" s="9" t="s">
        <v>1960</v>
      </c>
      <c r="N714" s="2" t="s">
        <v>1856</v>
      </c>
      <c r="O714" s="3">
        <v>4991537037</v>
      </c>
      <c r="P714" t="s">
        <v>12</v>
      </c>
      <c r="Q714">
        <v>2</v>
      </c>
      <c r="R714" t="s">
        <v>1962</v>
      </c>
    </row>
    <row r="715" spans="1:18" x14ac:dyDescent="0.35">
      <c r="A715" t="s">
        <v>744</v>
      </c>
      <c r="B715" t="s">
        <v>25</v>
      </c>
      <c r="C715" t="s">
        <v>14</v>
      </c>
      <c r="D715" t="s">
        <v>1940</v>
      </c>
      <c r="E715" s="3">
        <v>35</v>
      </c>
      <c r="F715" t="s">
        <v>1821</v>
      </c>
      <c r="G715" t="s">
        <v>1814</v>
      </c>
      <c r="H715" t="s">
        <v>23</v>
      </c>
      <c r="I715" s="1" t="s">
        <v>1646</v>
      </c>
      <c r="J715" s="7">
        <v>3</v>
      </c>
      <c r="K715" s="7">
        <v>2022</v>
      </c>
      <c r="L715" s="3">
        <v>103492.91</v>
      </c>
      <c r="M715" s="9" t="s">
        <v>1960</v>
      </c>
      <c r="N715" s="2" t="s">
        <v>1875</v>
      </c>
      <c r="O715" s="3">
        <v>2407333372</v>
      </c>
      <c r="P715" t="s">
        <v>27</v>
      </c>
      <c r="Q715">
        <v>1</v>
      </c>
      <c r="R715" t="s">
        <v>1963</v>
      </c>
    </row>
    <row r="716" spans="1:18" x14ac:dyDescent="0.35">
      <c r="A716" t="s">
        <v>745</v>
      </c>
      <c r="B716" t="s">
        <v>25</v>
      </c>
      <c r="C716" t="s">
        <v>29</v>
      </c>
      <c r="D716" t="s">
        <v>1932</v>
      </c>
      <c r="E716" s="3">
        <v>30</v>
      </c>
      <c r="F716" t="s">
        <v>1817</v>
      </c>
      <c r="G716" t="s">
        <v>1824</v>
      </c>
      <c r="H716" t="s">
        <v>19</v>
      </c>
      <c r="I716" s="1" t="s">
        <v>1647</v>
      </c>
      <c r="J716" s="7">
        <v>4</v>
      </c>
      <c r="K716" s="7">
        <v>2021</v>
      </c>
      <c r="L716" s="3">
        <v>76254.42</v>
      </c>
      <c r="M716" s="9" t="s">
        <v>1959</v>
      </c>
      <c r="N716" s="2" t="s">
        <v>1867</v>
      </c>
      <c r="O716" s="3">
        <v>2043097767</v>
      </c>
      <c r="P716" t="s">
        <v>15</v>
      </c>
      <c r="Q716">
        <v>4</v>
      </c>
      <c r="R716" t="s">
        <v>1963</v>
      </c>
    </row>
    <row r="717" spans="1:18" x14ac:dyDescent="0.35">
      <c r="A717" t="s">
        <v>746</v>
      </c>
      <c r="B717" t="s">
        <v>22</v>
      </c>
      <c r="C717" t="s">
        <v>29</v>
      </c>
      <c r="D717" t="s">
        <v>1946</v>
      </c>
      <c r="E717" s="3">
        <v>35</v>
      </c>
      <c r="F717" t="s">
        <v>1815</v>
      </c>
      <c r="G717" t="s">
        <v>1820</v>
      </c>
      <c r="H717" t="s">
        <v>23</v>
      </c>
      <c r="I717" s="1" t="s">
        <v>1622</v>
      </c>
      <c r="J717" s="7">
        <v>5</v>
      </c>
      <c r="K717" s="7">
        <v>2020</v>
      </c>
      <c r="L717" s="3">
        <v>100841.93</v>
      </c>
      <c r="M717" s="9" t="s">
        <v>1960</v>
      </c>
      <c r="N717" s="2" t="s">
        <v>1881</v>
      </c>
      <c r="O717" s="3">
        <v>8936289695</v>
      </c>
      <c r="P717" t="s">
        <v>27</v>
      </c>
      <c r="Q717">
        <v>1</v>
      </c>
      <c r="R717" t="s">
        <v>1962</v>
      </c>
    </row>
    <row r="718" spans="1:18" x14ac:dyDescent="0.35">
      <c r="A718" t="s">
        <v>747</v>
      </c>
      <c r="B718" t="s">
        <v>17</v>
      </c>
      <c r="C718" t="s">
        <v>26</v>
      </c>
      <c r="D718" t="s">
        <v>1950</v>
      </c>
      <c r="E718" s="3">
        <v>30</v>
      </c>
      <c r="F718" t="s">
        <v>1817</v>
      </c>
      <c r="G718" t="s">
        <v>1814</v>
      </c>
      <c r="H718" t="s">
        <v>11</v>
      </c>
      <c r="I718" s="1" t="s">
        <v>1648</v>
      </c>
      <c r="J718" s="7">
        <v>4</v>
      </c>
      <c r="K718" s="7">
        <v>2021</v>
      </c>
      <c r="L718" s="3">
        <v>118907.61</v>
      </c>
      <c r="M718" s="9" t="s">
        <v>1960</v>
      </c>
      <c r="N718" s="2" t="s">
        <v>1885</v>
      </c>
      <c r="O718" s="3">
        <v>4546553584</v>
      </c>
      <c r="P718" t="s">
        <v>15</v>
      </c>
      <c r="Q718">
        <v>4</v>
      </c>
      <c r="R718" t="s">
        <v>1962</v>
      </c>
    </row>
    <row r="719" spans="1:18" x14ac:dyDescent="0.35">
      <c r="A719" t="s">
        <v>748</v>
      </c>
      <c r="B719" t="s">
        <v>25</v>
      </c>
      <c r="C719" t="s">
        <v>14</v>
      </c>
      <c r="D719" t="s">
        <v>1940</v>
      </c>
      <c r="E719" s="3">
        <v>25</v>
      </c>
      <c r="F719" t="s">
        <v>1813</v>
      </c>
      <c r="G719" t="s">
        <v>1814</v>
      </c>
      <c r="H719" t="s">
        <v>19</v>
      </c>
      <c r="I719" s="1" t="s">
        <v>1649</v>
      </c>
      <c r="J719" s="7">
        <v>3</v>
      </c>
      <c r="K719" s="7">
        <v>2022</v>
      </c>
      <c r="L719" s="3">
        <v>88942.62</v>
      </c>
      <c r="M719" s="9" t="s">
        <v>1960</v>
      </c>
      <c r="N719" s="2" t="s">
        <v>1875</v>
      </c>
      <c r="O719" s="3">
        <v>1253892186</v>
      </c>
      <c r="P719" t="s">
        <v>12</v>
      </c>
      <c r="Q719">
        <v>2</v>
      </c>
      <c r="R719" t="s">
        <v>1963</v>
      </c>
    </row>
    <row r="720" spans="1:18" x14ac:dyDescent="0.35">
      <c r="A720" t="s">
        <v>749</v>
      </c>
      <c r="B720" t="s">
        <v>34</v>
      </c>
      <c r="C720" t="s">
        <v>29</v>
      </c>
      <c r="D720" t="s">
        <v>1909</v>
      </c>
      <c r="E720" s="3">
        <v>25</v>
      </c>
      <c r="F720" t="s">
        <v>1819</v>
      </c>
      <c r="G720" t="s">
        <v>1820</v>
      </c>
      <c r="H720" t="s">
        <v>23</v>
      </c>
      <c r="I720" s="1" t="s">
        <v>1602</v>
      </c>
      <c r="J720" s="7">
        <v>5</v>
      </c>
      <c r="K720" s="7">
        <v>2020</v>
      </c>
      <c r="L720" s="3">
        <v>59688.57</v>
      </c>
      <c r="M720" s="9" t="s">
        <v>1958</v>
      </c>
      <c r="N720" s="2" t="s">
        <v>1844</v>
      </c>
      <c r="O720" s="3">
        <v>8519358373</v>
      </c>
      <c r="P720" t="s">
        <v>12</v>
      </c>
      <c r="Q720">
        <v>2</v>
      </c>
      <c r="R720" t="s">
        <v>1963</v>
      </c>
    </row>
    <row r="721" spans="1:18" x14ac:dyDescent="0.35">
      <c r="A721" t="s">
        <v>750</v>
      </c>
      <c r="B721" t="s">
        <v>37</v>
      </c>
      <c r="C721" t="s">
        <v>14</v>
      </c>
      <c r="D721" t="s">
        <v>1938</v>
      </c>
      <c r="E721" s="3">
        <v>30</v>
      </c>
      <c r="F721" t="s">
        <v>1823</v>
      </c>
      <c r="G721" t="s">
        <v>1814</v>
      </c>
      <c r="H721" t="s">
        <v>11</v>
      </c>
      <c r="I721" s="1" t="s">
        <v>1650</v>
      </c>
      <c r="J721" s="7">
        <v>2</v>
      </c>
      <c r="K721" s="7">
        <v>2023</v>
      </c>
      <c r="L721" s="3">
        <v>77985.88</v>
      </c>
      <c r="M721" s="9" t="s">
        <v>1959</v>
      </c>
      <c r="N721" s="2" t="s">
        <v>1873</v>
      </c>
      <c r="O721" s="3">
        <v>9079779611</v>
      </c>
      <c r="P721" t="s">
        <v>12</v>
      </c>
      <c r="Q721">
        <v>2</v>
      </c>
      <c r="R721" t="s">
        <v>1962</v>
      </c>
    </row>
    <row r="722" spans="1:18" x14ac:dyDescent="0.35">
      <c r="A722" t="s">
        <v>751</v>
      </c>
      <c r="B722" t="s">
        <v>9</v>
      </c>
      <c r="C722" t="s">
        <v>35</v>
      </c>
      <c r="D722" t="s">
        <v>1935</v>
      </c>
      <c r="E722" s="3">
        <v>35</v>
      </c>
      <c r="F722" t="s">
        <v>1815</v>
      </c>
      <c r="G722" t="s">
        <v>1822</v>
      </c>
      <c r="H722" t="s">
        <v>23</v>
      </c>
      <c r="I722" s="1" t="s">
        <v>1651</v>
      </c>
      <c r="J722" s="7">
        <v>1</v>
      </c>
      <c r="K722" s="7">
        <v>2024</v>
      </c>
      <c r="L722" s="3">
        <v>112931.69</v>
      </c>
      <c r="M722" s="9" t="s">
        <v>1960</v>
      </c>
      <c r="N722" s="2" t="s">
        <v>1870</v>
      </c>
      <c r="O722" s="3">
        <v>878057214</v>
      </c>
      <c r="P722" t="s">
        <v>27</v>
      </c>
      <c r="Q722">
        <v>1</v>
      </c>
      <c r="R722" t="s">
        <v>1963</v>
      </c>
    </row>
    <row r="723" spans="1:18" x14ac:dyDescent="0.35">
      <c r="A723" t="s">
        <v>752</v>
      </c>
      <c r="B723" t="s">
        <v>9</v>
      </c>
      <c r="C723" t="s">
        <v>26</v>
      </c>
      <c r="D723" t="s">
        <v>1924</v>
      </c>
      <c r="E723" s="3">
        <v>30</v>
      </c>
      <c r="F723" t="s">
        <v>1813</v>
      </c>
      <c r="G723" t="s">
        <v>1814</v>
      </c>
      <c r="H723" t="s">
        <v>11</v>
      </c>
      <c r="I723" s="1" t="s">
        <v>1652</v>
      </c>
      <c r="J723" s="7">
        <v>1</v>
      </c>
      <c r="K723" s="7">
        <v>2024</v>
      </c>
      <c r="L723" s="3">
        <v>106583.88</v>
      </c>
      <c r="M723" s="9" t="s">
        <v>1960</v>
      </c>
      <c r="N723" s="2" t="s">
        <v>1859</v>
      </c>
      <c r="O723" s="3">
        <v>1494097625</v>
      </c>
      <c r="P723" t="s">
        <v>20</v>
      </c>
      <c r="Q723">
        <v>3</v>
      </c>
      <c r="R723" t="s">
        <v>1962</v>
      </c>
    </row>
    <row r="724" spans="1:18" x14ac:dyDescent="0.35">
      <c r="A724" t="s">
        <v>753</v>
      </c>
      <c r="B724" t="s">
        <v>17</v>
      </c>
      <c r="C724" t="s">
        <v>14</v>
      </c>
      <c r="D724" t="s">
        <v>1907</v>
      </c>
      <c r="E724" s="3">
        <v>35</v>
      </c>
      <c r="F724" t="s">
        <v>1823</v>
      </c>
      <c r="G724" t="s">
        <v>1820</v>
      </c>
      <c r="H724" t="s">
        <v>23</v>
      </c>
      <c r="I724" s="1" t="s">
        <v>1216</v>
      </c>
      <c r="J724" s="7">
        <v>0</v>
      </c>
      <c r="K724" s="7">
        <v>2024</v>
      </c>
      <c r="L724" s="3">
        <v>58437.84</v>
      </c>
      <c r="M724" s="9" t="s">
        <v>1958</v>
      </c>
      <c r="N724" s="2" t="s">
        <v>1842</v>
      </c>
      <c r="O724" s="3">
        <v>3748453985</v>
      </c>
      <c r="P724" t="s">
        <v>20</v>
      </c>
      <c r="Q724">
        <v>3</v>
      </c>
      <c r="R724" t="s">
        <v>1962</v>
      </c>
    </row>
    <row r="725" spans="1:18" x14ac:dyDescent="0.35">
      <c r="A725" t="s">
        <v>754</v>
      </c>
      <c r="B725" t="s">
        <v>17</v>
      </c>
      <c r="C725" t="s">
        <v>62</v>
      </c>
      <c r="D725" t="s">
        <v>1933</v>
      </c>
      <c r="E725" s="3">
        <v>40</v>
      </c>
      <c r="F725" t="s">
        <v>1819</v>
      </c>
      <c r="G725" t="s">
        <v>1814</v>
      </c>
      <c r="H725" t="s">
        <v>19</v>
      </c>
      <c r="I725" s="1" t="s">
        <v>1238</v>
      </c>
      <c r="J725" s="7">
        <v>5</v>
      </c>
      <c r="K725" s="7">
        <v>2020</v>
      </c>
      <c r="L725" s="3">
        <v>72352.160000000003</v>
      </c>
      <c r="M725" s="9" t="s">
        <v>1959</v>
      </c>
      <c r="N725" s="2" t="s">
        <v>1868</v>
      </c>
      <c r="O725" s="3">
        <v>2895090590</v>
      </c>
      <c r="P725" t="s">
        <v>12</v>
      </c>
      <c r="Q725">
        <v>2</v>
      </c>
      <c r="R725" t="s">
        <v>1962</v>
      </c>
    </row>
    <row r="726" spans="1:18" x14ac:dyDescent="0.35">
      <c r="A726" t="s">
        <v>755</v>
      </c>
      <c r="B726" t="s">
        <v>25</v>
      </c>
      <c r="C726" t="s">
        <v>62</v>
      </c>
      <c r="D726" t="s">
        <v>1922</v>
      </c>
      <c r="E726" s="3">
        <v>30</v>
      </c>
      <c r="F726" t="s">
        <v>1813</v>
      </c>
      <c r="G726" t="s">
        <v>1822</v>
      </c>
      <c r="H726" t="s">
        <v>11</v>
      </c>
      <c r="I726" s="1" t="s">
        <v>1653</v>
      </c>
      <c r="J726" s="7">
        <v>5</v>
      </c>
      <c r="K726" s="7">
        <v>2020</v>
      </c>
      <c r="L726" s="3">
        <v>97154.47</v>
      </c>
      <c r="M726" s="9" t="s">
        <v>1960</v>
      </c>
      <c r="N726" s="2" t="s">
        <v>1857</v>
      </c>
      <c r="O726" s="3">
        <v>1918623391</v>
      </c>
      <c r="P726" t="s">
        <v>20</v>
      </c>
      <c r="Q726">
        <v>3</v>
      </c>
      <c r="R726" t="s">
        <v>1962</v>
      </c>
    </row>
    <row r="727" spans="1:18" x14ac:dyDescent="0.35">
      <c r="A727" t="s">
        <v>756</v>
      </c>
      <c r="B727" t="s">
        <v>40</v>
      </c>
      <c r="C727" t="s">
        <v>18</v>
      </c>
      <c r="D727" t="s">
        <v>1947</v>
      </c>
      <c r="E727" s="3">
        <v>30</v>
      </c>
      <c r="F727" t="s">
        <v>1821</v>
      </c>
      <c r="G727" t="s">
        <v>1824</v>
      </c>
      <c r="H727" t="s">
        <v>11</v>
      </c>
      <c r="I727" s="1" t="s">
        <v>1534</v>
      </c>
      <c r="J727" s="7">
        <v>4</v>
      </c>
      <c r="K727" s="7">
        <v>2021</v>
      </c>
      <c r="L727" s="3">
        <v>80235.5</v>
      </c>
      <c r="M727" s="9" t="s">
        <v>1959</v>
      </c>
      <c r="N727" s="2" t="s">
        <v>1882</v>
      </c>
      <c r="O727" s="3">
        <v>2071511695</v>
      </c>
      <c r="P727" t="s">
        <v>20</v>
      </c>
      <c r="Q727">
        <v>3</v>
      </c>
      <c r="R727" t="s">
        <v>1963</v>
      </c>
    </row>
    <row r="728" spans="1:18" x14ac:dyDescent="0.35">
      <c r="A728" t="s">
        <v>757</v>
      </c>
      <c r="B728" t="s">
        <v>34</v>
      </c>
      <c r="C728" t="s">
        <v>26</v>
      </c>
      <c r="D728" t="s">
        <v>1910</v>
      </c>
      <c r="E728" s="3">
        <v>30</v>
      </c>
      <c r="F728" t="s">
        <v>1823</v>
      </c>
      <c r="G728" t="s">
        <v>1816</v>
      </c>
      <c r="H728" t="s">
        <v>23</v>
      </c>
      <c r="I728" s="1" t="s">
        <v>1609</v>
      </c>
      <c r="J728" s="7">
        <v>2</v>
      </c>
      <c r="K728" s="7">
        <v>2023</v>
      </c>
      <c r="L728" s="3">
        <v>102172.05</v>
      </c>
      <c r="M728" s="9" t="s">
        <v>1960</v>
      </c>
      <c r="N728" s="2" t="s">
        <v>1845</v>
      </c>
      <c r="O728" s="3">
        <v>6672521451</v>
      </c>
      <c r="P728" t="s">
        <v>27</v>
      </c>
      <c r="Q728">
        <v>1</v>
      </c>
      <c r="R728" t="s">
        <v>1963</v>
      </c>
    </row>
    <row r="729" spans="1:18" x14ac:dyDescent="0.35">
      <c r="A729" t="s">
        <v>758</v>
      </c>
      <c r="B729" t="s">
        <v>22</v>
      </c>
      <c r="C729" t="s">
        <v>26</v>
      </c>
      <c r="D729" t="s">
        <v>1923</v>
      </c>
      <c r="E729" s="3">
        <v>25</v>
      </c>
      <c r="F729" t="s">
        <v>1815</v>
      </c>
      <c r="G729" t="s">
        <v>1824</v>
      </c>
      <c r="H729" t="s">
        <v>23</v>
      </c>
      <c r="I729" s="1" t="s">
        <v>1371</v>
      </c>
      <c r="J729" s="7">
        <v>1</v>
      </c>
      <c r="K729" s="7">
        <v>2024</v>
      </c>
      <c r="L729" s="3">
        <v>98850.94</v>
      </c>
      <c r="M729" s="9" t="s">
        <v>1960</v>
      </c>
      <c r="N729" s="2" t="s">
        <v>1858</v>
      </c>
      <c r="O729" s="3">
        <v>6471246334</v>
      </c>
      <c r="P729" t="s">
        <v>15</v>
      </c>
      <c r="Q729">
        <v>4</v>
      </c>
      <c r="R729" t="s">
        <v>1962</v>
      </c>
    </row>
    <row r="730" spans="1:18" x14ac:dyDescent="0.35">
      <c r="A730" t="s">
        <v>759</v>
      </c>
      <c r="B730" t="s">
        <v>40</v>
      </c>
      <c r="C730" t="s">
        <v>18</v>
      </c>
      <c r="D730" t="s">
        <v>1947</v>
      </c>
      <c r="E730" s="3">
        <v>30</v>
      </c>
      <c r="F730" t="s">
        <v>1817</v>
      </c>
      <c r="G730" t="s">
        <v>1820</v>
      </c>
      <c r="H730" t="s">
        <v>23</v>
      </c>
      <c r="I730" s="1" t="s">
        <v>1654</v>
      </c>
      <c r="J730" s="7">
        <v>2</v>
      </c>
      <c r="K730" s="7">
        <v>2023</v>
      </c>
      <c r="L730" s="3">
        <v>89993.15</v>
      </c>
      <c r="M730" s="9" t="s">
        <v>1960</v>
      </c>
      <c r="N730" s="2" t="s">
        <v>1882</v>
      </c>
      <c r="O730" s="3">
        <v>1571840907</v>
      </c>
      <c r="P730" t="s">
        <v>12</v>
      </c>
      <c r="Q730">
        <v>2</v>
      </c>
      <c r="R730" t="s">
        <v>1962</v>
      </c>
    </row>
    <row r="731" spans="1:18" x14ac:dyDescent="0.35">
      <c r="A731" t="s">
        <v>760</v>
      </c>
      <c r="B731" t="s">
        <v>37</v>
      </c>
      <c r="C731" t="s">
        <v>14</v>
      </c>
      <c r="D731" t="s">
        <v>1938</v>
      </c>
      <c r="E731" s="3">
        <v>30</v>
      </c>
      <c r="F731" t="s">
        <v>1819</v>
      </c>
      <c r="G731" t="s">
        <v>1814</v>
      </c>
      <c r="H731" t="s">
        <v>23</v>
      </c>
      <c r="I731" s="1" t="s">
        <v>1325</v>
      </c>
      <c r="J731" s="7">
        <v>4</v>
      </c>
      <c r="K731" s="7">
        <v>2021</v>
      </c>
      <c r="L731" s="3">
        <v>97931.66</v>
      </c>
      <c r="M731" s="9" t="s">
        <v>1960</v>
      </c>
      <c r="N731" s="2" t="s">
        <v>1873</v>
      </c>
      <c r="O731" s="3">
        <v>512080055</v>
      </c>
      <c r="P731" t="s">
        <v>12</v>
      </c>
      <c r="Q731">
        <v>2</v>
      </c>
      <c r="R731" t="s">
        <v>1962</v>
      </c>
    </row>
    <row r="732" spans="1:18" x14ac:dyDescent="0.35">
      <c r="A732" t="s">
        <v>761</v>
      </c>
      <c r="B732" t="s">
        <v>9</v>
      </c>
      <c r="C732" t="s">
        <v>26</v>
      </c>
      <c r="D732" t="s">
        <v>1924</v>
      </c>
      <c r="E732" s="3">
        <v>40</v>
      </c>
      <c r="F732" t="s">
        <v>1815</v>
      </c>
      <c r="G732" t="s">
        <v>1814</v>
      </c>
      <c r="H732" t="s">
        <v>23</v>
      </c>
      <c r="I732" s="1" t="s">
        <v>1655</v>
      </c>
      <c r="J732" s="7">
        <v>4</v>
      </c>
      <c r="K732" s="7">
        <v>2021</v>
      </c>
      <c r="L732" s="3">
        <v>72451.69</v>
      </c>
      <c r="M732" s="9" t="s">
        <v>1959</v>
      </c>
      <c r="N732" s="2" t="s">
        <v>1859</v>
      </c>
      <c r="O732" s="3">
        <v>4099512396</v>
      </c>
      <c r="P732" t="s">
        <v>27</v>
      </c>
      <c r="Q732">
        <v>1</v>
      </c>
      <c r="R732" t="s">
        <v>1962</v>
      </c>
    </row>
    <row r="733" spans="1:18" x14ac:dyDescent="0.35">
      <c r="A733" t="s">
        <v>762</v>
      </c>
      <c r="B733" t="s">
        <v>17</v>
      </c>
      <c r="C733" t="s">
        <v>62</v>
      </c>
      <c r="D733" t="s">
        <v>1933</v>
      </c>
      <c r="E733" s="3">
        <v>35</v>
      </c>
      <c r="F733" t="s">
        <v>1817</v>
      </c>
      <c r="G733" t="s">
        <v>1814</v>
      </c>
      <c r="H733" t="s">
        <v>19</v>
      </c>
      <c r="I733" s="1" t="s">
        <v>1656</v>
      </c>
      <c r="J733" s="7">
        <v>1</v>
      </c>
      <c r="K733" s="7">
        <v>2024</v>
      </c>
      <c r="L733" s="3">
        <v>119311.14</v>
      </c>
      <c r="M733" s="9" t="s">
        <v>1960</v>
      </c>
      <c r="N733" s="2" t="s">
        <v>1868</v>
      </c>
      <c r="O733" s="3">
        <v>2835129591</v>
      </c>
      <c r="P733" t="s">
        <v>27</v>
      </c>
      <c r="Q733">
        <v>1</v>
      </c>
      <c r="R733" t="s">
        <v>1962</v>
      </c>
    </row>
    <row r="734" spans="1:18" x14ac:dyDescent="0.35">
      <c r="A734" t="s">
        <v>763</v>
      </c>
      <c r="B734" t="s">
        <v>34</v>
      </c>
      <c r="C734" t="s">
        <v>62</v>
      </c>
      <c r="D734" t="s">
        <v>1934</v>
      </c>
      <c r="E734" s="3">
        <v>40</v>
      </c>
      <c r="F734" t="s">
        <v>1819</v>
      </c>
      <c r="G734" t="s">
        <v>1822</v>
      </c>
      <c r="H734" t="s">
        <v>11</v>
      </c>
      <c r="I734" s="1" t="s">
        <v>1246</v>
      </c>
      <c r="J734" s="7">
        <v>2</v>
      </c>
      <c r="K734" s="7">
        <v>2023</v>
      </c>
      <c r="L734" s="3">
        <v>76167.460000000006</v>
      </c>
      <c r="M734" s="9" t="s">
        <v>1959</v>
      </c>
      <c r="N734" s="2" t="s">
        <v>1869</v>
      </c>
      <c r="O734" s="3">
        <v>7282709080</v>
      </c>
      <c r="P734" t="s">
        <v>20</v>
      </c>
      <c r="Q734">
        <v>3</v>
      </c>
      <c r="R734" t="s">
        <v>1963</v>
      </c>
    </row>
    <row r="735" spans="1:18" x14ac:dyDescent="0.35">
      <c r="A735" t="s">
        <v>764</v>
      </c>
      <c r="B735" t="s">
        <v>9</v>
      </c>
      <c r="C735" t="s">
        <v>29</v>
      </c>
      <c r="D735" t="s">
        <v>1926</v>
      </c>
      <c r="E735" s="3">
        <v>25</v>
      </c>
      <c r="F735" t="s">
        <v>1813</v>
      </c>
      <c r="G735" t="s">
        <v>1816</v>
      </c>
      <c r="H735" t="s">
        <v>11</v>
      </c>
      <c r="I735" s="1" t="s">
        <v>1657</v>
      </c>
      <c r="J735" s="7">
        <v>2</v>
      </c>
      <c r="K735" s="7">
        <v>2023</v>
      </c>
      <c r="L735" s="3">
        <v>114871.08</v>
      </c>
      <c r="M735" s="9" t="s">
        <v>1960</v>
      </c>
      <c r="N735" s="2" t="s">
        <v>1861</v>
      </c>
      <c r="O735" s="3">
        <v>4415298216</v>
      </c>
      <c r="P735" t="s">
        <v>12</v>
      </c>
      <c r="Q735">
        <v>2</v>
      </c>
      <c r="R735" t="s">
        <v>1963</v>
      </c>
    </row>
    <row r="736" spans="1:18" x14ac:dyDescent="0.35">
      <c r="A736" t="s">
        <v>765</v>
      </c>
      <c r="B736" t="s">
        <v>22</v>
      </c>
      <c r="C736" t="s">
        <v>35</v>
      </c>
      <c r="D736" t="s">
        <v>1948</v>
      </c>
      <c r="E736" s="3">
        <v>25</v>
      </c>
      <c r="F736" t="s">
        <v>1823</v>
      </c>
      <c r="G736" t="s">
        <v>1818</v>
      </c>
      <c r="H736" t="s">
        <v>11</v>
      </c>
      <c r="I736" s="1" t="s">
        <v>1658</v>
      </c>
      <c r="J736" s="7">
        <v>4</v>
      </c>
      <c r="K736" s="7">
        <v>2021</v>
      </c>
      <c r="L736" s="3">
        <v>81504.31</v>
      </c>
      <c r="M736" s="9" t="s">
        <v>1959</v>
      </c>
      <c r="N736" s="2" t="s">
        <v>1883</v>
      </c>
      <c r="O736" s="3">
        <v>3929578670</v>
      </c>
      <c r="P736" t="s">
        <v>15</v>
      </c>
      <c r="Q736">
        <v>4</v>
      </c>
      <c r="R736" t="s">
        <v>1963</v>
      </c>
    </row>
    <row r="737" spans="1:18" x14ac:dyDescent="0.35">
      <c r="A737" t="s">
        <v>766</v>
      </c>
      <c r="B737" t="s">
        <v>37</v>
      </c>
      <c r="C737" t="s">
        <v>26</v>
      </c>
      <c r="D737" t="s">
        <v>1902</v>
      </c>
      <c r="E737" s="3">
        <v>30</v>
      </c>
      <c r="F737" t="s">
        <v>1817</v>
      </c>
      <c r="G737" t="s">
        <v>1822</v>
      </c>
      <c r="H737" t="s">
        <v>19</v>
      </c>
      <c r="I737" s="1" t="s">
        <v>1659</v>
      </c>
      <c r="J737" s="7">
        <v>3</v>
      </c>
      <c r="K737" s="7">
        <v>2022</v>
      </c>
      <c r="L737" s="3">
        <v>102524.86</v>
      </c>
      <c r="M737" s="9" t="s">
        <v>1960</v>
      </c>
      <c r="N737" s="2" t="s">
        <v>1837</v>
      </c>
      <c r="O737" s="3">
        <v>8153523735</v>
      </c>
      <c r="P737" t="s">
        <v>27</v>
      </c>
      <c r="Q737">
        <v>1</v>
      </c>
      <c r="R737" t="s">
        <v>1963</v>
      </c>
    </row>
    <row r="738" spans="1:18" x14ac:dyDescent="0.35">
      <c r="A738" t="s">
        <v>767</v>
      </c>
      <c r="B738" t="s">
        <v>34</v>
      </c>
      <c r="C738" t="s">
        <v>14</v>
      </c>
      <c r="D738" t="s">
        <v>1918</v>
      </c>
      <c r="E738" s="3">
        <v>25</v>
      </c>
      <c r="F738" t="s">
        <v>1815</v>
      </c>
      <c r="G738" t="s">
        <v>1824</v>
      </c>
      <c r="H738" t="s">
        <v>19</v>
      </c>
      <c r="I738" s="1" t="s">
        <v>1660</v>
      </c>
      <c r="J738" s="7">
        <v>2</v>
      </c>
      <c r="K738" s="7">
        <v>2022</v>
      </c>
      <c r="L738" s="3">
        <v>53043.74</v>
      </c>
      <c r="M738" s="9" t="s">
        <v>1958</v>
      </c>
      <c r="N738" s="2" t="s">
        <v>1853</v>
      </c>
      <c r="O738" s="3">
        <v>507918157</v>
      </c>
      <c r="P738" t="s">
        <v>15</v>
      </c>
      <c r="Q738">
        <v>4</v>
      </c>
      <c r="R738" t="s">
        <v>1962</v>
      </c>
    </row>
    <row r="739" spans="1:18" x14ac:dyDescent="0.35">
      <c r="A739" t="s">
        <v>768</v>
      </c>
      <c r="B739" t="s">
        <v>22</v>
      </c>
      <c r="C739" t="s">
        <v>18</v>
      </c>
      <c r="D739" t="s">
        <v>1945</v>
      </c>
      <c r="E739" s="3">
        <v>30</v>
      </c>
      <c r="F739" t="s">
        <v>1813</v>
      </c>
      <c r="G739" t="s">
        <v>1824</v>
      </c>
      <c r="H739" t="s">
        <v>23</v>
      </c>
      <c r="I739" s="1" t="s">
        <v>1661</v>
      </c>
      <c r="J739" s="7">
        <v>5</v>
      </c>
      <c r="K739" s="7">
        <v>2020</v>
      </c>
      <c r="L739" s="3">
        <v>82547.259999999995</v>
      </c>
      <c r="M739" s="9" t="s">
        <v>1959</v>
      </c>
      <c r="N739" s="2" t="s">
        <v>1880</v>
      </c>
      <c r="O739" s="3">
        <v>9988683451</v>
      </c>
      <c r="P739" t="s">
        <v>15</v>
      </c>
      <c r="Q739">
        <v>4</v>
      </c>
      <c r="R739" t="s">
        <v>1962</v>
      </c>
    </row>
    <row r="740" spans="1:18" x14ac:dyDescent="0.35">
      <c r="A740" t="s">
        <v>769</v>
      </c>
      <c r="B740" t="s">
        <v>9</v>
      </c>
      <c r="C740" t="s">
        <v>18</v>
      </c>
      <c r="D740" t="s">
        <v>1899</v>
      </c>
      <c r="E740" s="3">
        <v>40</v>
      </c>
      <c r="F740" t="s">
        <v>1813</v>
      </c>
      <c r="G740" t="s">
        <v>1814</v>
      </c>
      <c r="H740" t="s">
        <v>19</v>
      </c>
      <c r="I740" s="1" t="s">
        <v>1662</v>
      </c>
      <c r="J740" s="7">
        <v>1</v>
      </c>
      <c r="K740" s="7">
        <v>2024</v>
      </c>
      <c r="L740" s="3">
        <v>113900.81</v>
      </c>
      <c r="M740" s="9" t="s">
        <v>1960</v>
      </c>
      <c r="N740" s="2" t="s">
        <v>1834</v>
      </c>
      <c r="O740" s="3">
        <v>7346666169</v>
      </c>
      <c r="P740" t="s">
        <v>12</v>
      </c>
      <c r="Q740">
        <v>2</v>
      </c>
      <c r="R740" t="s">
        <v>1962</v>
      </c>
    </row>
    <row r="741" spans="1:18" x14ac:dyDescent="0.35">
      <c r="A741" t="s">
        <v>770</v>
      </c>
      <c r="B741" t="s">
        <v>9</v>
      </c>
      <c r="C741" t="s">
        <v>14</v>
      </c>
      <c r="D741" t="s">
        <v>1893</v>
      </c>
      <c r="E741" s="3">
        <v>25</v>
      </c>
      <c r="F741" t="s">
        <v>1823</v>
      </c>
      <c r="G741" t="s">
        <v>1818</v>
      </c>
      <c r="H741" t="s">
        <v>23</v>
      </c>
      <c r="I741" s="1" t="s">
        <v>1120</v>
      </c>
      <c r="J741" s="7">
        <v>4</v>
      </c>
      <c r="K741" s="7">
        <v>2021</v>
      </c>
      <c r="L741" s="3">
        <v>118585.5</v>
      </c>
      <c r="M741" s="9" t="s">
        <v>1960</v>
      </c>
      <c r="N741" s="2" t="s">
        <v>1828</v>
      </c>
      <c r="O741" s="3">
        <v>7158796473</v>
      </c>
      <c r="P741" t="s">
        <v>12</v>
      </c>
      <c r="Q741">
        <v>2</v>
      </c>
      <c r="R741" t="s">
        <v>1962</v>
      </c>
    </row>
    <row r="742" spans="1:18" x14ac:dyDescent="0.35">
      <c r="A742" t="s">
        <v>771</v>
      </c>
      <c r="B742" t="s">
        <v>9</v>
      </c>
      <c r="C742" t="s">
        <v>10</v>
      </c>
      <c r="D742" t="s">
        <v>1892</v>
      </c>
      <c r="E742" s="3">
        <v>35</v>
      </c>
      <c r="F742" t="s">
        <v>1815</v>
      </c>
      <c r="G742" t="s">
        <v>1824</v>
      </c>
      <c r="H742" t="s">
        <v>19</v>
      </c>
      <c r="I742" s="1" t="s">
        <v>1663</v>
      </c>
      <c r="J742" s="7">
        <v>5</v>
      </c>
      <c r="K742" s="7">
        <v>2020</v>
      </c>
      <c r="L742" s="3">
        <v>63049.22</v>
      </c>
      <c r="M742" s="9" t="s">
        <v>1959</v>
      </c>
      <c r="N742" s="2" t="s">
        <v>1827</v>
      </c>
      <c r="O742" s="3">
        <v>803149981</v>
      </c>
      <c r="P742" t="s">
        <v>27</v>
      </c>
      <c r="Q742">
        <v>1</v>
      </c>
      <c r="R742" t="s">
        <v>1962</v>
      </c>
    </row>
    <row r="743" spans="1:18" x14ac:dyDescent="0.35">
      <c r="A743" t="s">
        <v>772</v>
      </c>
      <c r="B743" t="s">
        <v>40</v>
      </c>
      <c r="C743" t="s">
        <v>50</v>
      </c>
      <c r="D743" t="s">
        <v>1920</v>
      </c>
      <c r="E743" s="3">
        <v>30</v>
      </c>
      <c r="F743" t="s">
        <v>1813</v>
      </c>
      <c r="G743" t="s">
        <v>1816</v>
      </c>
      <c r="H743" t="s">
        <v>11</v>
      </c>
      <c r="I743" s="1" t="s">
        <v>1664</v>
      </c>
      <c r="J743" s="7">
        <v>4</v>
      </c>
      <c r="K743" s="7">
        <v>2021</v>
      </c>
      <c r="L743" s="3">
        <v>114558.91</v>
      </c>
      <c r="M743" s="9" t="s">
        <v>1960</v>
      </c>
      <c r="N743" s="2" t="s">
        <v>1855</v>
      </c>
      <c r="O743" s="3">
        <v>5080046357</v>
      </c>
      <c r="P743" t="s">
        <v>12</v>
      </c>
      <c r="Q743">
        <v>2</v>
      </c>
      <c r="R743" t="s">
        <v>1963</v>
      </c>
    </row>
    <row r="744" spans="1:18" x14ac:dyDescent="0.35">
      <c r="A744" t="s">
        <v>773</v>
      </c>
      <c r="B744" t="s">
        <v>40</v>
      </c>
      <c r="C744" t="s">
        <v>35</v>
      </c>
      <c r="D744" t="s">
        <v>1915</v>
      </c>
      <c r="E744" s="3">
        <v>40</v>
      </c>
      <c r="F744" t="s">
        <v>1813</v>
      </c>
      <c r="G744" t="s">
        <v>1822</v>
      </c>
      <c r="H744" t="s">
        <v>11</v>
      </c>
      <c r="I744" s="1" t="s">
        <v>1665</v>
      </c>
      <c r="J744" s="7">
        <v>4</v>
      </c>
      <c r="K744" s="7">
        <v>2021</v>
      </c>
      <c r="L744" s="3">
        <v>97901.79</v>
      </c>
      <c r="M744" s="9" t="s">
        <v>1960</v>
      </c>
      <c r="N744" s="2" t="s">
        <v>1850</v>
      </c>
      <c r="O744" s="3">
        <v>688285030</v>
      </c>
      <c r="P744" t="s">
        <v>12</v>
      </c>
      <c r="Q744">
        <v>2</v>
      </c>
      <c r="R744" t="s">
        <v>1962</v>
      </c>
    </row>
    <row r="745" spans="1:18" x14ac:dyDescent="0.35">
      <c r="A745" t="s">
        <v>774</v>
      </c>
      <c r="B745" t="s">
        <v>22</v>
      </c>
      <c r="C745" t="s">
        <v>18</v>
      </c>
      <c r="D745" t="s">
        <v>1945</v>
      </c>
      <c r="E745" s="3">
        <v>30</v>
      </c>
      <c r="F745" t="s">
        <v>1821</v>
      </c>
      <c r="G745" t="s">
        <v>1814</v>
      </c>
      <c r="H745" t="s">
        <v>11</v>
      </c>
      <c r="I745" s="1" t="s">
        <v>1666</v>
      </c>
      <c r="J745" s="7">
        <v>2</v>
      </c>
      <c r="K745" s="7">
        <v>2023</v>
      </c>
      <c r="L745" s="3">
        <v>68037.56</v>
      </c>
      <c r="M745" s="9" t="s">
        <v>1959</v>
      </c>
      <c r="N745" s="2" t="s">
        <v>1880</v>
      </c>
      <c r="O745" s="3">
        <v>7235137398</v>
      </c>
      <c r="P745" t="s">
        <v>12</v>
      </c>
      <c r="Q745">
        <v>2</v>
      </c>
      <c r="R745" t="s">
        <v>1963</v>
      </c>
    </row>
    <row r="746" spans="1:18" x14ac:dyDescent="0.35">
      <c r="A746" t="s">
        <v>775</v>
      </c>
      <c r="B746" t="s">
        <v>17</v>
      </c>
      <c r="C746" t="s">
        <v>26</v>
      </c>
      <c r="D746" t="s">
        <v>1950</v>
      </c>
      <c r="E746" s="3">
        <v>30</v>
      </c>
      <c r="F746" t="s">
        <v>1823</v>
      </c>
      <c r="G746" t="s">
        <v>1822</v>
      </c>
      <c r="H746" t="s">
        <v>11</v>
      </c>
      <c r="I746" s="1" t="s">
        <v>1667</v>
      </c>
      <c r="J746" s="7">
        <v>3</v>
      </c>
      <c r="K746" s="7">
        <v>2021</v>
      </c>
      <c r="L746" s="3">
        <v>112802.27</v>
      </c>
      <c r="M746" s="9" t="s">
        <v>1960</v>
      </c>
      <c r="N746" s="2" t="s">
        <v>1885</v>
      </c>
      <c r="O746" s="3">
        <v>63140351</v>
      </c>
      <c r="P746" t="s">
        <v>15</v>
      </c>
      <c r="Q746">
        <v>4</v>
      </c>
      <c r="R746" t="s">
        <v>1963</v>
      </c>
    </row>
    <row r="747" spans="1:18" x14ac:dyDescent="0.35">
      <c r="A747" t="s">
        <v>776</v>
      </c>
      <c r="B747" t="s">
        <v>9</v>
      </c>
      <c r="C747" t="s">
        <v>35</v>
      </c>
      <c r="D747" t="s">
        <v>1935</v>
      </c>
      <c r="E747" s="3">
        <v>40</v>
      </c>
      <c r="F747" t="s">
        <v>1821</v>
      </c>
      <c r="G747" t="s">
        <v>1818</v>
      </c>
      <c r="H747" t="s">
        <v>19</v>
      </c>
      <c r="I747" s="1" t="s">
        <v>1182</v>
      </c>
      <c r="J747" s="7">
        <v>1</v>
      </c>
      <c r="K747" s="7">
        <v>2024</v>
      </c>
      <c r="L747" s="3">
        <v>93786.72</v>
      </c>
      <c r="M747" s="9" t="s">
        <v>1960</v>
      </c>
      <c r="N747" s="2" t="s">
        <v>1870</v>
      </c>
      <c r="O747" s="3">
        <v>6356022938</v>
      </c>
      <c r="P747" t="s">
        <v>27</v>
      </c>
      <c r="Q747">
        <v>1</v>
      </c>
      <c r="R747" t="s">
        <v>1963</v>
      </c>
    </row>
    <row r="748" spans="1:18" x14ac:dyDescent="0.35">
      <c r="A748" t="s">
        <v>777</v>
      </c>
      <c r="B748" t="s">
        <v>37</v>
      </c>
      <c r="C748" t="s">
        <v>26</v>
      </c>
      <c r="D748" t="s">
        <v>1902</v>
      </c>
      <c r="E748" s="3">
        <v>30</v>
      </c>
      <c r="F748" t="s">
        <v>1817</v>
      </c>
      <c r="G748" t="s">
        <v>1820</v>
      </c>
      <c r="H748" t="s">
        <v>23</v>
      </c>
      <c r="I748" s="1" t="s">
        <v>1289</v>
      </c>
      <c r="J748" s="7">
        <v>2</v>
      </c>
      <c r="K748" s="7">
        <v>2023</v>
      </c>
      <c r="L748" s="3">
        <v>73049.929999999993</v>
      </c>
      <c r="M748" s="9" t="s">
        <v>1959</v>
      </c>
      <c r="N748" s="2" t="s">
        <v>1837</v>
      </c>
      <c r="O748" s="3">
        <v>4694346065</v>
      </c>
      <c r="P748" t="s">
        <v>20</v>
      </c>
      <c r="Q748">
        <v>3</v>
      </c>
      <c r="R748" t="s">
        <v>1963</v>
      </c>
    </row>
    <row r="749" spans="1:18" x14ac:dyDescent="0.35">
      <c r="A749" t="s">
        <v>778</v>
      </c>
      <c r="B749" t="s">
        <v>37</v>
      </c>
      <c r="C749" t="s">
        <v>10</v>
      </c>
      <c r="D749" t="s">
        <v>1903</v>
      </c>
      <c r="E749" s="3">
        <v>30</v>
      </c>
      <c r="F749" t="s">
        <v>1821</v>
      </c>
      <c r="G749" t="s">
        <v>1824</v>
      </c>
      <c r="H749" t="s">
        <v>19</v>
      </c>
      <c r="I749" s="1" t="s">
        <v>1668</v>
      </c>
      <c r="J749" s="7">
        <v>1</v>
      </c>
      <c r="K749" s="7">
        <v>2024</v>
      </c>
      <c r="L749" s="3">
        <v>64161.72</v>
      </c>
      <c r="M749" s="9" t="s">
        <v>1959</v>
      </c>
      <c r="N749" s="2" t="s">
        <v>1838</v>
      </c>
      <c r="O749" s="3">
        <v>6437490606</v>
      </c>
      <c r="P749" t="s">
        <v>15</v>
      </c>
      <c r="Q749">
        <v>4</v>
      </c>
      <c r="R749" t="s">
        <v>1962</v>
      </c>
    </row>
    <row r="750" spans="1:18" x14ac:dyDescent="0.35">
      <c r="A750" t="s">
        <v>779</v>
      </c>
      <c r="B750" t="s">
        <v>34</v>
      </c>
      <c r="C750" t="s">
        <v>62</v>
      </c>
      <c r="D750" t="s">
        <v>1934</v>
      </c>
      <c r="E750" s="3">
        <v>40</v>
      </c>
      <c r="F750" t="s">
        <v>1817</v>
      </c>
      <c r="G750" t="s">
        <v>1818</v>
      </c>
      <c r="H750" t="s">
        <v>19</v>
      </c>
      <c r="I750" s="1" t="s">
        <v>1669</v>
      </c>
      <c r="J750" s="7">
        <v>5</v>
      </c>
      <c r="K750" s="7">
        <v>2020</v>
      </c>
      <c r="L750" s="3">
        <v>72224.73</v>
      </c>
      <c r="M750" s="9" t="s">
        <v>1959</v>
      </c>
      <c r="N750" s="2" t="s">
        <v>1869</v>
      </c>
      <c r="O750" s="3">
        <v>2311127127</v>
      </c>
      <c r="P750" t="s">
        <v>12</v>
      </c>
      <c r="Q750">
        <v>2</v>
      </c>
      <c r="R750" t="s">
        <v>1963</v>
      </c>
    </row>
    <row r="751" spans="1:18" x14ac:dyDescent="0.35">
      <c r="A751" t="s">
        <v>780</v>
      </c>
      <c r="B751" t="s">
        <v>9</v>
      </c>
      <c r="C751" t="s">
        <v>35</v>
      </c>
      <c r="D751" t="s">
        <v>1935</v>
      </c>
      <c r="E751" s="3">
        <v>30</v>
      </c>
      <c r="F751" t="s">
        <v>1823</v>
      </c>
      <c r="G751" t="s">
        <v>1822</v>
      </c>
      <c r="H751" t="s">
        <v>19</v>
      </c>
      <c r="I751" s="1" t="s">
        <v>1670</v>
      </c>
      <c r="J751" s="7">
        <v>5</v>
      </c>
      <c r="K751" s="7">
        <v>2020</v>
      </c>
      <c r="L751" s="3">
        <v>103580.45</v>
      </c>
      <c r="M751" s="9" t="s">
        <v>1960</v>
      </c>
      <c r="N751" s="2" t="s">
        <v>1870</v>
      </c>
      <c r="O751" s="3">
        <v>5246484493</v>
      </c>
      <c r="P751" t="s">
        <v>15</v>
      </c>
      <c r="Q751">
        <v>4</v>
      </c>
      <c r="R751" t="s">
        <v>1963</v>
      </c>
    </row>
    <row r="752" spans="1:18" x14ac:dyDescent="0.35">
      <c r="A752" t="s">
        <v>781</v>
      </c>
      <c r="B752" t="s">
        <v>42</v>
      </c>
      <c r="C752" t="s">
        <v>29</v>
      </c>
      <c r="D752" t="s">
        <v>1908</v>
      </c>
      <c r="E752" s="3">
        <v>40</v>
      </c>
      <c r="F752" t="s">
        <v>1823</v>
      </c>
      <c r="G752" t="s">
        <v>1820</v>
      </c>
      <c r="H752" t="s">
        <v>19</v>
      </c>
      <c r="I752" s="1" t="s">
        <v>1656</v>
      </c>
      <c r="J752" s="7">
        <v>1</v>
      </c>
      <c r="K752" s="7">
        <v>2024</v>
      </c>
      <c r="L752" s="3">
        <v>112589.11</v>
      </c>
      <c r="M752" s="9" t="s">
        <v>1960</v>
      </c>
      <c r="N752" s="2" t="s">
        <v>1843</v>
      </c>
      <c r="O752" s="3">
        <v>1163187327</v>
      </c>
      <c r="P752" t="s">
        <v>12</v>
      </c>
      <c r="Q752">
        <v>2</v>
      </c>
      <c r="R752" t="s">
        <v>1963</v>
      </c>
    </row>
    <row r="753" spans="1:18" x14ac:dyDescent="0.35">
      <c r="A753" t="s">
        <v>782</v>
      </c>
      <c r="B753" t="s">
        <v>22</v>
      </c>
      <c r="C753" t="s">
        <v>18</v>
      </c>
      <c r="D753" t="s">
        <v>1945</v>
      </c>
      <c r="E753" s="3">
        <v>30</v>
      </c>
      <c r="F753" t="s">
        <v>1817</v>
      </c>
      <c r="G753" t="s">
        <v>1816</v>
      </c>
      <c r="H753" t="s">
        <v>11</v>
      </c>
      <c r="I753" s="1" t="s">
        <v>1671</v>
      </c>
      <c r="J753" s="7">
        <v>4</v>
      </c>
      <c r="K753" s="7">
        <v>2021</v>
      </c>
      <c r="L753" s="3">
        <v>51833.88</v>
      </c>
      <c r="M753" s="9" t="s">
        <v>1958</v>
      </c>
      <c r="N753" s="2" t="s">
        <v>1880</v>
      </c>
      <c r="O753" s="3">
        <v>771130620</v>
      </c>
      <c r="P753" t="s">
        <v>12</v>
      </c>
      <c r="Q753">
        <v>2</v>
      </c>
      <c r="R753" t="s">
        <v>1962</v>
      </c>
    </row>
    <row r="754" spans="1:18" x14ac:dyDescent="0.35">
      <c r="A754" t="s">
        <v>783</v>
      </c>
      <c r="B754" t="s">
        <v>22</v>
      </c>
      <c r="C754" t="s">
        <v>35</v>
      </c>
      <c r="D754" t="s">
        <v>1948</v>
      </c>
      <c r="E754" s="3">
        <v>30</v>
      </c>
      <c r="F754" t="s">
        <v>1821</v>
      </c>
      <c r="G754" t="s">
        <v>1824</v>
      </c>
      <c r="H754" t="s">
        <v>11</v>
      </c>
      <c r="I754" s="1" t="s">
        <v>1222</v>
      </c>
      <c r="J754" s="7">
        <v>2</v>
      </c>
      <c r="K754" s="7">
        <v>2023</v>
      </c>
      <c r="L754" s="3">
        <v>66252.78</v>
      </c>
      <c r="M754" s="9" t="s">
        <v>1959</v>
      </c>
      <c r="N754" s="2" t="s">
        <v>1883</v>
      </c>
      <c r="O754" s="3">
        <v>1369572789</v>
      </c>
      <c r="P754" t="s">
        <v>15</v>
      </c>
      <c r="Q754">
        <v>4</v>
      </c>
      <c r="R754" t="s">
        <v>1962</v>
      </c>
    </row>
    <row r="755" spans="1:18" x14ac:dyDescent="0.35">
      <c r="A755" t="s">
        <v>784</v>
      </c>
      <c r="B755" t="s">
        <v>25</v>
      </c>
      <c r="C755" t="s">
        <v>35</v>
      </c>
      <c r="D755" t="s">
        <v>1944</v>
      </c>
      <c r="E755" s="3">
        <v>25</v>
      </c>
      <c r="F755" t="s">
        <v>1813</v>
      </c>
      <c r="G755" t="s">
        <v>1820</v>
      </c>
      <c r="H755" t="s">
        <v>11</v>
      </c>
      <c r="I755" s="1" t="s">
        <v>1672</v>
      </c>
      <c r="J755" s="7">
        <v>3</v>
      </c>
      <c r="K755" s="7">
        <v>2022</v>
      </c>
      <c r="L755" s="3">
        <v>109229.68</v>
      </c>
      <c r="M755" s="9" t="s">
        <v>1960</v>
      </c>
      <c r="N755" s="2" t="s">
        <v>1879</v>
      </c>
      <c r="O755" s="3">
        <v>8335090253</v>
      </c>
      <c r="P755" t="s">
        <v>27</v>
      </c>
      <c r="Q755">
        <v>1</v>
      </c>
      <c r="R755" t="s">
        <v>1962</v>
      </c>
    </row>
    <row r="756" spans="1:18" x14ac:dyDescent="0.35">
      <c r="A756" t="s">
        <v>785</v>
      </c>
      <c r="B756" t="s">
        <v>25</v>
      </c>
      <c r="C756" t="s">
        <v>35</v>
      </c>
      <c r="D756" t="s">
        <v>1944</v>
      </c>
      <c r="E756" s="3">
        <v>30</v>
      </c>
      <c r="F756" t="s">
        <v>1815</v>
      </c>
      <c r="G756" t="s">
        <v>1820</v>
      </c>
      <c r="H756" t="s">
        <v>23</v>
      </c>
      <c r="I756" s="1" t="s">
        <v>1673</v>
      </c>
      <c r="J756" s="7">
        <v>5</v>
      </c>
      <c r="K756" s="7">
        <v>2020</v>
      </c>
      <c r="L756" s="3">
        <v>61465.05</v>
      </c>
      <c r="M756" s="9" t="s">
        <v>1959</v>
      </c>
      <c r="N756" s="2" t="s">
        <v>1879</v>
      </c>
      <c r="O756" s="3">
        <v>2573066247</v>
      </c>
      <c r="P756" t="s">
        <v>12</v>
      </c>
      <c r="Q756">
        <v>2</v>
      </c>
      <c r="R756" t="s">
        <v>1963</v>
      </c>
    </row>
    <row r="757" spans="1:18" x14ac:dyDescent="0.35">
      <c r="A757" t="s">
        <v>786</v>
      </c>
      <c r="B757" t="s">
        <v>42</v>
      </c>
      <c r="C757" t="s">
        <v>50</v>
      </c>
      <c r="D757" t="s">
        <v>1930</v>
      </c>
      <c r="E757" s="3">
        <v>25</v>
      </c>
      <c r="F757" t="s">
        <v>1823</v>
      </c>
      <c r="G757" t="s">
        <v>1820</v>
      </c>
      <c r="H757" t="s">
        <v>11</v>
      </c>
      <c r="I757" s="1" t="s">
        <v>1674</v>
      </c>
      <c r="J757" s="7">
        <v>1</v>
      </c>
      <c r="K757" s="7">
        <v>2024</v>
      </c>
      <c r="L757" s="3">
        <v>96993.74</v>
      </c>
      <c r="M757" s="9" t="s">
        <v>1960</v>
      </c>
      <c r="N757" s="2" t="s">
        <v>1865</v>
      </c>
      <c r="O757" s="3">
        <v>1323570712</v>
      </c>
      <c r="P757" t="s">
        <v>27</v>
      </c>
      <c r="Q757">
        <v>1</v>
      </c>
      <c r="R757" t="s">
        <v>1963</v>
      </c>
    </row>
    <row r="758" spans="1:18" x14ac:dyDescent="0.35">
      <c r="A758" t="s">
        <v>787</v>
      </c>
      <c r="B758" t="s">
        <v>37</v>
      </c>
      <c r="C758" t="s">
        <v>35</v>
      </c>
      <c r="D758" t="s">
        <v>1937</v>
      </c>
      <c r="E758" s="3">
        <v>25</v>
      </c>
      <c r="F758" t="s">
        <v>1817</v>
      </c>
      <c r="G758" t="s">
        <v>1820</v>
      </c>
      <c r="H758" t="s">
        <v>19</v>
      </c>
      <c r="I758" s="1" t="s">
        <v>1675</v>
      </c>
      <c r="J758" s="7">
        <v>3</v>
      </c>
      <c r="K758" s="7">
        <v>2022</v>
      </c>
      <c r="L758" s="3">
        <v>98150.39</v>
      </c>
      <c r="M758" s="9" t="s">
        <v>1960</v>
      </c>
      <c r="N758" s="2" t="s">
        <v>1872</v>
      </c>
      <c r="O758" s="3">
        <v>9848228500</v>
      </c>
      <c r="P758" t="s">
        <v>20</v>
      </c>
      <c r="Q758">
        <v>3</v>
      </c>
      <c r="R758" t="s">
        <v>1962</v>
      </c>
    </row>
    <row r="759" spans="1:18" x14ac:dyDescent="0.35">
      <c r="A759" t="s">
        <v>788</v>
      </c>
      <c r="B759" t="s">
        <v>37</v>
      </c>
      <c r="C759" t="s">
        <v>26</v>
      </c>
      <c r="D759" t="s">
        <v>1902</v>
      </c>
      <c r="E759" s="3">
        <v>40</v>
      </c>
      <c r="F759" t="s">
        <v>1815</v>
      </c>
      <c r="G759" t="s">
        <v>1816</v>
      </c>
      <c r="H759" t="s">
        <v>19</v>
      </c>
      <c r="I759" s="1" t="s">
        <v>1676</v>
      </c>
      <c r="J759" s="7">
        <v>1</v>
      </c>
      <c r="K759" s="7">
        <v>2024</v>
      </c>
      <c r="L759" s="3">
        <v>107703</v>
      </c>
      <c r="M759" s="9" t="s">
        <v>1960</v>
      </c>
      <c r="N759" s="2" t="s">
        <v>1837</v>
      </c>
      <c r="O759" s="3">
        <v>1688092549</v>
      </c>
      <c r="P759" t="s">
        <v>12</v>
      </c>
      <c r="Q759">
        <v>2</v>
      </c>
      <c r="R759" t="s">
        <v>1963</v>
      </c>
    </row>
    <row r="760" spans="1:18" x14ac:dyDescent="0.35">
      <c r="A760" t="s">
        <v>789</v>
      </c>
      <c r="B760" t="s">
        <v>42</v>
      </c>
      <c r="C760" t="s">
        <v>62</v>
      </c>
      <c r="D760" t="s">
        <v>1921</v>
      </c>
      <c r="E760" s="3">
        <v>30</v>
      </c>
      <c r="F760" t="s">
        <v>1813</v>
      </c>
      <c r="G760" t="s">
        <v>1824</v>
      </c>
      <c r="H760" t="s">
        <v>19</v>
      </c>
      <c r="I760" s="1" t="s">
        <v>1677</v>
      </c>
      <c r="J760" s="7">
        <v>2</v>
      </c>
      <c r="K760" s="7">
        <v>2023</v>
      </c>
      <c r="L760" s="3">
        <v>86766.14</v>
      </c>
      <c r="M760" s="9" t="s">
        <v>1960</v>
      </c>
      <c r="N760" s="2" t="s">
        <v>1856</v>
      </c>
      <c r="O760" s="3">
        <v>2130609068</v>
      </c>
      <c r="P760" t="s">
        <v>27</v>
      </c>
      <c r="Q760">
        <v>1</v>
      </c>
      <c r="R760" t="s">
        <v>1962</v>
      </c>
    </row>
    <row r="761" spans="1:18" x14ac:dyDescent="0.35">
      <c r="A761" t="s">
        <v>790</v>
      </c>
      <c r="B761" t="s">
        <v>17</v>
      </c>
      <c r="C761" t="s">
        <v>10</v>
      </c>
      <c r="D761" t="s">
        <v>1928</v>
      </c>
      <c r="E761" s="3">
        <v>30</v>
      </c>
      <c r="F761" t="s">
        <v>1819</v>
      </c>
      <c r="G761" t="s">
        <v>1820</v>
      </c>
      <c r="H761" t="s">
        <v>23</v>
      </c>
      <c r="I761" s="1" t="s">
        <v>1324</v>
      </c>
      <c r="J761" s="7">
        <v>1</v>
      </c>
      <c r="K761" s="7">
        <v>2024</v>
      </c>
      <c r="L761" s="3">
        <v>111443.69</v>
      </c>
      <c r="M761" s="9" t="s">
        <v>1960</v>
      </c>
      <c r="N761" s="2" t="s">
        <v>1863</v>
      </c>
      <c r="O761" s="3">
        <v>1309810795</v>
      </c>
      <c r="P761" t="s">
        <v>27</v>
      </c>
      <c r="Q761">
        <v>1</v>
      </c>
      <c r="R761" t="s">
        <v>1962</v>
      </c>
    </row>
    <row r="762" spans="1:18" x14ac:dyDescent="0.35">
      <c r="A762" t="s">
        <v>791</v>
      </c>
      <c r="B762" t="s">
        <v>37</v>
      </c>
      <c r="C762" t="s">
        <v>14</v>
      </c>
      <c r="D762" t="s">
        <v>1938</v>
      </c>
      <c r="E762" s="3">
        <v>30</v>
      </c>
      <c r="F762" t="s">
        <v>1821</v>
      </c>
      <c r="G762" t="s">
        <v>1820</v>
      </c>
      <c r="H762" t="s">
        <v>19</v>
      </c>
      <c r="I762" s="1" t="s">
        <v>1240</v>
      </c>
      <c r="J762" s="7">
        <v>5</v>
      </c>
      <c r="K762" s="7">
        <v>2020</v>
      </c>
      <c r="L762" s="3">
        <v>89039.07</v>
      </c>
      <c r="M762" s="9" t="s">
        <v>1960</v>
      </c>
      <c r="N762" s="2" t="s">
        <v>1873</v>
      </c>
      <c r="O762" s="3">
        <v>4967379456</v>
      </c>
      <c r="P762" t="s">
        <v>20</v>
      </c>
      <c r="Q762">
        <v>3</v>
      </c>
      <c r="R762" t="s">
        <v>1963</v>
      </c>
    </row>
    <row r="763" spans="1:18" x14ac:dyDescent="0.35">
      <c r="A763" t="s">
        <v>792</v>
      </c>
      <c r="B763" t="s">
        <v>17</v>
      </c>
      <c r="C763" t="s">
        <v>35</v>
      </c>
      <c r="D763" t="s">
        <v>1925</v>
      </c>
      <c r="E763" s="3">
        <v>30</v>
      </c>
      <c r="F763" t="s">
        <v>1823</v>
      </c>
      <c r="G763" t="s">
        <v>1820</v>
      </c>
      <c r="H763" t="s">
        <v>23</v>
      </c>
      <c r="I763" s="1" t="s">
        <v>1678</v>
      </c>
      <c r="J763" s="7">
        <v>0</v>
      </c>
      <c r="K763" s="7">
        <v>2024</v>
      </c>
      <c r="L763" s="3">
        <v>71318.789999999994</v>
      </c>
      <c r="M763" s="9" t="s">
        <v>1959</v>
      </c>
      <c r="N763" s="2" t="s">
        <v>1860</v>
      </c>
      <c r="O763" s="3">
        <v>7278532425</v>
      </c>
      <c r="P763" t="s">
        <v>27</v>
      </c>
      <c r="Q763">
        <v>1</v>
      </c>
      <c r="R763" t="s">
        <v>1963</v>
      </c>
    </row>
    <row r="764" spans="1:18" x14ac:dyDescent="0.35">
      <c r="A764" t="s">
        <v>793</v>
      </c>
      <c r="B764" t="s">
        <v>40</v>
      </c>
      <c r="C764" t="s">
        <v>18</v>
      </c>
      <c r="D764" t="s">
        <v>1947</v>
      </c>
      <c r="E764" s="3">
        <v>30</v>
      </c>
      <c r="F764" t="s">
        <v>1815</v>
      </c>
      <c r="G764" t="s">
        <v>1814</v>
      </c>
      <c r="H764" t="s">
        <v>19</v>
      </c>
      <c r="I764" s="1" t="s">
        <v>1679</v>
      </c>
      <c r="J764" s="7">
        <v>5</v>
      </c>
      <c r="K764" s="7">
        <v>2020</v>
      </c>
      <c r="L764" s="3">
        <v>98296.71</v>
      </c>
      <c r="M764" s="9" t="s">
        <v>1960</v>
      </c>
      <c r="N764" s="2" t="s">
        <v>1882</v>
      </c>
      <c r="O764" s="3">
        <v>4250642075</v>
      </c>
      <c r="P764" t="s">
        <v>27</v>
      </c>
      <c r="Q764">
        <v>1</v>
      </c>
      <c r="R764" t="s">
        <v>1963</v>
      </c>
    </row>
    <row r="765" spans="1:18" x14ac:dyDescent="0.35">
      <c r="A765" t="s">
        <v>794</v>
      </c>
      <c r="B765" t="s">
        <v>40</v>
      </c>
      <c r="C765" t="s">
        <v>35</v>
      </c>
      <c r="D765" t="s">
        <v>1915</v>
      </c>
      <c r="E765" s="3">
        <v>40</v>
      </c>
      <c r="F765" t="s">
        <v>1819</v>
      </c>
      <c r="G765" t="s">
        <v>1818</v>
      </c>
      <c r="H765" t="s">
        <v>19</v>
      </c>
      <c r="I765" s="1" t="s">
        <v>1680</v>
      </c>
      <c r="J765" s="7">
        <v>5</v>
      </c>
      <c r="K765" s="7">
        <v>2020</v>
      </c>
      <c r="L765" s="3">
        <v>62584</v>
      </c>
      <c r="M765" s="9" t="s">
        <v>1959</v>
      </c>
      <c r="N765" s="2" t="s">
        <v>1850</v>
      </c>
      <c r="O765" s="3">
        <v>8362536666</v>
      </c>
      <c r="P765" t="s">
        <v>20</v>
      </c>
      <c r="Q765">
        <v>3</v>
      </c>
      <c r="R765" t="s">
        <v>1963</v>
      </c>
    </row>
    <row r="766" spans="1:18" x14ac:dyDescent="0.35">
      <c r="A766" t="s">
        <v>795</v>
      </c>
      <c r="B766" t="s">
        <v>34</v>
      </c>
      <c r="C766" t="s">
        <v>18</v>
      </c>
      <c r="D766" t="s">
        <v>1916</v>
      </c>
      <c r="E766" s="3">
        <v>40</v>
      </c>
      <c r="F766" t="s">
        <v>1815</v>
      </c>
      <c r="G766" t="s">
        <v>1814</v>
      </c>
      <c r="H766" t="s">
        <v>23</v>
      </c>
      <c r="I766" s="1" t="s">
        <v>1681</v>
      </c>
      <c r="J766" s="7">
        <v>5</v>
      </c>
      <c r="K766" s="7">
        <v>2020</v>
      </c>
      <c r="L766" s="3">
        <v>62521.5</v>
      </c>
      <c r="M766" s="9" t="s">
        <v>1959</v>
      </c>
      <c r="N766" s="2" t="s">
        <v>1851</v>
      </c>
      <c r="O766" s="3">
        <v>7767555627</v>
      </c>
      <c r="P766" t="s">
        <v>12</v>
      </c>
      <c r="Q766">
        <v>2</v>
      </c>
      <c r="R766" t="s">
        <v>1962</v>
      </c>
    </row>
    <row r="767" spans="1:18" x14ac:dyDescent="0.35">
      <c r="A767" t="s">
        <v>796</v>
      </c>
      <c r="B767" t="s">
        <v>37</v>
      </c>
      <c r="C767" t="s">
        <v>26</v>
      </c>
      <c r="D767" t="s">
        <v>1902</v>
      </c>
      <c r="E767" s="3">
        <v>40</v>
      </c>
      <c r="F767" t="s">
        <v>1819</v>
      </c>
      <c r="G767" t="s">
        <v>1814</v>
      </c>
      <c r="H767" t="s">
        <v>23</v>
      </c>
      <c r="I767" s="1" t="s">
        <v>1682</v>
      </c>
      <c r="J767" s="7">
        <v>2</v>
      </c>
      <c r="K767" s="7">
        <v>2023</v>
      </c>
      <c r="L767" s="3">
        <v>95400.35</v>
      </c>
      <c r="M767" s="9" t="s">
        <v>1960</v>
      </c>
      <c r="N767" s="2" t="s">
        <v>1837</v>
      </c>
      <c r="O767" s="3">
        <v>3333939577</v>
      </c>
      <c r="P767" t="s">
        <v>27</v>
      </c>
      <c r="Q767">
        <v>1</v>
      </c>
      <c r="R767" t="s">
        <v>1962</v>
      </c>
    </row>
    <row r="768" spans="1:18" x14ac:dyDescent="0.35">
      <c r="A768" t="s">
        <v>797</v>
      </c>
      <c r="B768" t="s">
        <v>34</v>
      </c>
      <c r="C768" t="s">
        <v>18</v>
      </c>
      <c r="D768" t="s">
        <v>1916</v>
      </c>
      <c r="E768" s="3">
        <v>25</v>
      </c>
      <c r="F768" t="s">
        <v>1819</v>
      </c>
      <c r="G768" t="s">
        <v>1816</v>
      </c>
      <c r="H768" t="s">
        <v>19</v>
      </c>
      <c r="I768" s="1" t="s">
        <v>1683</v>
      </c>
      <c r="J768" s="7">
        <v>3</v>
      </c>
      <c r="K768" s="7">
        <v>2022</v>
      </c>
      <c r="L768" s="3">
        <v>94385.07</v>
      </c>
      <c r="M768" s="9" t="s">
        <v>1960</v>
      </c>
      <c r="N768" s="2" t="s">
        <v>1851</v>
      </c>
      <c r="O768" s="3">
        <v>6543627186</v>
      </c>
      <c r="P768" t="s">
        <v>27</v>
      </c>
      <c r="Q768">
        <v>1</v>
      </c>
      <c r="R768" t="s">
        <v>1962</v>
      </c>
    </row>
    <row r="769" spans="1:18" x14ac:dyDescent="0.35">
      <c r="A769" t="s">
        <v>798</v>
      </c>
      <c r="B769" t="s">
        <v>42</v>
      </c>
      <c r="C769" t="s">
        <v>29</v>
      </c>
      <c r="D769" t="s">
        <v>1908</v>
      </c>
      <c r="E769" s="3">
        <v>30</v>
      </c>
      <c r="F769" t="s">
        <v>1821</v>
      </c>
      <c r="G769" t="s">
        <v>1822</v>
      </c>
      <c r="H769" t="s">
        <v>23</v>
      </c>
      <c r="I769" s="1" t="s">
        <v>1356</v>
      </c>
      <c r="J769" s="7">
        <v>2</v>
      </c>
      <c r="K769" s="7">
        <v>2023</v>
      </c>
      <c r="L769" s="3">
        <v>76642.490000000005</v>
      </c>
      <c r="M769" s="9" t="s">
        <v>1959</v>
      </c>
      <c r="N769" s="2" t="s">
        <v>1843</v>
      </c>
      <c r="O769" s="3">
        <v>4960335825</v>
      </c>
      <c r="P769" t="s">
        <v>27</v>
      </c>
      <c r="Q769">
        <v>1</v>
      </c>
      <c r="R769" t="s">
        <v>1962</v>
      </c>
    </row>
    <row r="770" spans="1:18" x14ac:dyDescent="0.35">
      <c r="A770" t="s">
        <v>799</v>
      </c>
      <c r="B770" t="s">
        <v>25</v>
      </c>
      <c r="C770" t="s">
        <v>14</v>
      </c>
      <c r="D770" t="s">
        <v>1940</v>
      </c>
      <c r="E770" s="3">
        <v>30</v>
      </c>
      <c r="F770" t="s">
        <v>1813</v>
      </c>
      <c r="G770" t="s">
        <v>1822</v>
      </c>
      <c r="H770" t="s">
        <v>11</v>
      </c>
      <c r="I770" s="1" t="s">
        <v>1684</v>
      </c>
      <c r="J770" s="7">
        <v>1</v>
      </c>
      <c r="K770" s="7">
        <v>2024</v>
      </c>
      <c r="L770" s="3">
        <v>60122.52</v>
      </c>
      <c r="M770" s="9" t="s">
        <v>1959</v>
      </c>
      <c r="N770" s="2" t="s">
        <v>1875</v>
      </c>
      <c r="O770" s="3">
        <v>8627036923</v>
      </c>
      <c r="P770" t="s">
        <v>15</v>
      </c>
      <c r="Q770">
        <v>4</v>
      </c>
      <c r="R770" t="s">
        <v>1962</v>
      </c>
    </row>
    <row r="771" spans="1:18" x14ac:dyDescent="0.35">
      <c r="A771" t="s">
        <v>800</v>
      </c>
      <c r="B771" t="s">
        <v>17</v>
      </c>
      <c r="C771" t="s">
        <v>62</v>
      </c>
      <c r="D771" t="s">
        <v>1933</v>
      </c>
      <c r="E771" s="3">
        <v>40</v>
      </c>
      <c r="F771" t="s">
        <v>1823</v>
      </c>
      <c r="G771" t="s">
        <v>1814</v>
      </c>
      <c r="H771" t="s">
        <v>19</v>
      </c>
      <c r="I771" s="1" t="s">
        <v>1067</v>
      </c>
      <c r="J771" s="7">
        <v>1</v>
      </c>
      <c r="K771" s="7">
        <v>2024</v>
      </c>
      <c r="L771" s="3">
        <v>117267.63</v>
      </c>
      <c r="M771" s="9" t="s">
        <v>1960</v>
      </c>
      <c r="N771" s="2" t="s">
        <v>1868</v>
      </c>
      <c r="O771" s="3">
        <v>9269326572</v>
      </c>
      <c r="P771" t="s">
        <v>20</v>
      </c>
      <c r="Q771">
        <v>3</v>
      </c>
      <c r="R771" t="s">
        <v>1963</v>
      </c>
    </row>
    <row r="772" spans="1:18" x14ac:dyDescent="0.35">
      <c r="A772" t="s">
        <v>801</v>
      </c>
      <c r="B772" t="s">
        <v>34</v>
      </c>
      <c r="C772" t="s">
        <v>18</v>
      </c>
      <c r="D772" t="s">
        <v>1916</v>
      </c>
      <c r="E772" s="3">
        <v>25</v>
      </c>
      <c r="F772" t="s">
        <v>1817</v>
      </c>
      <c r="G772" t="s">
        <v>1822</v>
      </c>
      <c r="H772" t="s">
        <v>11</v>
      </c>
      <c r="I772" s="1" t="s">
        <v>1685</v>
      </c>
      <c r="J772" s="7">
        <v>2</v>
      </c>
      <c r="K772" s="7">
        <v>2023</v>
      </c>
      <c r="L772" s="3">
        <v>0</v>
      </c>
      <c r="M772" s="9" t="s">
        <v>1958</v>
      </c>
      <c r="N772" s="2" t="s">
        <v>1851</v>
      </c>
      <c r="O772" s="3">
        <v>2759980110</v>
      </c>
      <c r="P772" t="s">
        <v>15</v>
      </c>
      <c r="Q772">
        <v>4</v>
      </c>
      <c r="R772" t="s">
        <v>1962</v>
      </c>
    </row>
    <row r="773" spans="1:18" x14ac:dyDescent="0.35">
      <c r="A773" t="s">
        <v>802</v>
      </c>
      <c r="B773" t="s">
        <v>40</v>
      </c>
      <c r="C773" t="s">
        <v>18</v>
      </c>
      <c r="D773" t="s">
        <v>1947</v>
      </c>
      <c r="E773" s="3">
        <v>40</v>
      </c>
      <c r="F773" t="s">
        <v>1821</v>
      </c>
      <c r="G773" t="s">
        <v>1816</v>
      </c>
      <c r="H773" t="s">
        <v>19</v>
      </c>
      <c r="I773" s="1" t="s">
        <v>1686</v>
      </c>
      <c r="J773" s="7">
        <v>0</v>
      </c>
      <c r="K773" s="7">
        <v>2024</v>
      </c>
      <c r="L773" s="3">
        <v>84542.68</v>
      </c>
      <c r="M773" s="9" t="s">
        <v>1959</v>
      </c>
      <c r="N773" s="2" t="s">
        <v>1882</v>
      </c>
      <c r="O773" s="3">
        <v>5155322</v>
      </c>
      <c r="P773" t="s">
        <v>20</v>
      </c>
      <c r="Q773">
        <v>3</v>
      </c>
      <c r="R773" t="s">
        <v>1962</v>
      </c>
    </row>
    <row r="774" spans="1:18" x14ac:dyDescent="0.35">
      <c r="A774" t="s">
        <v>803</v>
      </c>
      <c r="B774" t="s">
        <v>40</v>
      </c>
      <c r="C774" t="s">
        <v>62</v>
      </c>
      <c r="D774" t="s">
        <v>1951</v>
      </c>
      <c r="E774" s="3">
        <v>40</v>
      </c>
      <c r="F774" t="s">
        <v>1815</v>
      </c>
      <c r="G774" t="s">
        <v>1820</v>
      </c>
      <c r="H774" t="s">
        <v>11</v>
      </c>
      <c r="I774" s="1" t="s">
        <v>1494</v>
      </c>
      <c r="J774" s="7">
        <v>2</v>
      </c>
      <c r="K774" s="7">
        <v>2023</v>
      </c>
      <c r="L774" s="3">
        <v>92007.15</v>
      </c>
      <c r="M774" s="9" t="s">
        <v>1960</v>
      </c>
      <c r="N774" s="2" t="s">
        <v>1886</v>
      </c>
      <c r="O774" s="3">
        <v>4159597751</v>
      </c>
      <c r="P774" t="s">
        <v>12</v>
      </c>
      <c r="Q774">
        <v>2</v>
      </c>
      <c r="R774" t="s">
        <v>1962</v>
      </c>
    </row>
    <row r="775" spans="1:18" x14ac:dyDescent="0.35">
      <c r="A775" t="s">
        <v>804</v>
      </c>
      <c r="B775" t="s">
        <v>22</v>
      </c>
      <c r="C775" t="s">
        <v>14</v>
      </c>
      <c r="D775" t="s">
        <v>1927</v>
      </c>
      <c r="E775" s="3">
        <v>30</v>
      </c>
      <c r="F775" t="s">
        <v>1813</v>
      </c>
      <c r="G775" t="s">
        <v>1824</v>
      </c>
      <c r="H775" t="s">
        <v>11</v>
      </c>
      <c r="I775" s="1" t="s">
        <v>1188</v>
      </c>
      <c r="J775" s="7">
        <v>5</v>
      </c>
      <c r="K775" s="7">
        <v>2020</v>
      </c>
      <c r="L775" s="3">
        <v>62938.8</v>
      </c>
      <c r="M775" s="9" t="s">
        <v>1959</v>
      </c>
      <c r="N775" s="2" t="s">
        <v>1862</v>
      </c>
      <c r="O775" s="3">
        <v>4418222617</v>
      </c>
      <c r="P775" t="s">
        <v>12</v>
      </c>
      <c r="Q775">
        <v>2</v>
      </c>
      <c r="R775" t="s">
        <v>1963</v>
      </c>
    </row>
    <row r="776" spans="1:18" x14ac:dyDescent="0.35">
      <c r="A776" t="s">
        <v>805</v>
      </c>
      <c r="B776" t="s">
        <v>25</v>
      </c>
      <c r="C776" t="s">
        <v>35</v>
      </c>
      <c r="D776" t="s">
        <v>1944</v>
      </c>
      <c r="E776" s="3">
        <v>25</v>
      </c>
      <c r="F776" t="s">
        <v>1817</v>
      </c>
      <c r="G776" t="s">
        <v>1816</v>
      </c>
      <c r="H776" t="s">
        <v>19</v>
      </c>
      <c r="I776" s="1" t="s">
        <v>1217</v>
      </c>
      <c r="J776" s="7">
        <v>2</v>
      </c>
      <c r="K776" s="7">
        <v>2023</v>
      </c>
      <c r="L776" s="3">
        <v>108661.01</v>
      </c>
      <c r="M776" s="9" t="s">
        <v>1960</v>
      </c>
      <c r="N776" s="2" t="s">
        <v>1879</v>
      </c>
      <c r="O776" s="3">
        <v>9628874311</v>
      </c>
      <c r="P776" t="s">
        <v>27</v>
      </c>
      <c r="Q776">
        <v>1</v>
      </c>
      <c r="R776" t="s">
        <v>1963</v>
      </c>
    </row>
    <row r="777" spans="1:18" x14ac:dyDescent="0.35">
      <c r="A777" t="s">
        <v>806</v>
      </c>
      <c r="B777" t="s">
        <v>9</v>
      </c>
      <c r="C777" t="s">
        <v>18</v>
      </c>
      <c r="D777" t="s">
        <v>1899</v>
      </c>
      <c r="E777" s="3">
        <v>25</v>
      </c>
      <c r="F777" t="s">
        <v>1819</v>
      </c>
      <c r="G777" t="s">
        <v>1820</v>
      </c>
      <c r="H777" t="s">
        <v>11</v>
      </c>
      <c r="I777" s="1" t="s">
        <v>1687</v>
      </c>
      <c r="J777" s="7">
        <v>4</v>
      </c>
      <c r="K777" s="7">
        <v>2020</v>
      </c>
      <c r="L777" s="3">
        <v>97046.33</v>
      </c>
      <c r="M777" s="9" t="s">
        <v>1960</v>
      </c>
      <c r="N777" s="2" t="s">
        <v>1834</v>
      </c>
      <c r="O777" s="3">
        <v>7102676719</v>
      </c>
      <c r="P777" t="s">
        <v>20</v>
      </c>
      <c r="Q777">
        <v>3</v>
      </c>
      <c r="R777" t="s">
        <v>1963</v>
      </c>
    </row>
    <row r="778" spans="1:18" x14ac:dyDescent="0.35">
      <c r="A778" t="s">
        <v>807</v>
      </c>
      <c r="B778" t="s">
        <v>34</v>
      </c>
      <c r="C778" t="s">
        <v>62</v>
      </c>
      <c r="D778" t="s">
        <v>1934</v>
      </c>
      <c r="E778" s="3">
        <v>40</v>
      </c>
      <c r="F778" t="s">
        <v>1813</v>
      </c>
      <c r="G778" t="s">
        <v>1824</v>
      </c>
      <c r="H778" t="s">
        <v>23</v>
      </c>
      <c r="I778" s="1" t="s">
        <v>1688</v>
      </c>
      <c r="J778" s="7">
        <v>5</v>
      </c>
      <c r="K778" s="7">
        <v>2020</v>
      </c>
      <c r="L778" s="3">
        <v>56518.84</v>
      </c>
      <c r="M778" s="9" t="s">
        <v>1958</v>
      </c>
      <c r="N778" s="2" t="s">
        <v>1869</v>
      </c>
      <c r="O778" s="3">
        <v>9579927078</v>
      </c>
      <c r="P778" t="s">
        <v>12</v>
      </c>
      <c r="Q778">
        <v>2</v>
      </c>
      <c r="R778" t="s">
        <v>1963</v>
      </c>
    </row>
    <row r="779" spans="1:18" x14ac:dyDescent="0.35">
      <c r="A779" t="s">
        <v>808</v>
      </c>
      <c r="B779" t="s">
        <v>25</v>
      </c>
      <c r="C779" t="s">
        <v>29</v>
      </c>
      <c r="D779" t="s">
        <v>1932</v>
      </c>
      <c r="E779" s="3">
        <v>40</v>
      </c>
      <c r="F779" t="s">
        <v>1819</v>
      </c>
      <c r="G779" t="s">
        <v>1820</v>
      </c>
      <c r="H779" t="s">
        <v>19</v>
      </c>
      <c r="I779" s="1" t="s">
        <v>1689</v>
      </c>
      <c r="J779" s="7">
        <v>4</v>
      </c>
      <c r="K779" s="7">
        <v>2020</v>
      </c>
      <c r="L779" s="3">
        <v>70498.289999999994</v>
      </c>
      <c r="M779" s="9" t="s">
        <v>1959</v>
      </c>
      <c r="N779" s="2" t="s">
        <v>1867</v>
      </c>
      <c r="O779" s="3">
        <v>5515122945</v>
      </c>
      <c r="P779" t="s">
        <v>20</v>
      </c>
      <c r="Q779">
        <v>3</v>
      </c>
      <c r="R779" t="s">
        <v>1962</v>
      </c>
    </row>
    <row r="780" spans="1:18" x14ac:dyDescent="0.35">
      <c r="A780" t="s">
        <v>809</v>
      </c>
      <c r="B780" t="s">
        <v>22</v>
      </c>
      <c r="C780" t="s">
        <v>29</v>
      </c>
      <c r="D780" t="s">
        <v>1946</v>
      </c>
      <c r="E780" s="3">
        <v>35</v>
      </c>
      <c r="F780" t="s">
        <v>1821</v>
      </c>
      <c r="G780" t="s">
        <v>1820</v>
      </c>
      <c r="H780" t="s">
        <v>19</v>
      </c>
      <c r="I780" s="1" t="s">
        <v>1467</v>
      </c>
      <c r="J780" s="7">
        <v>4</v>
      </c>
      <c r="K780" s="7">
        <v>2021</v>
      </c>
      <c r="L780" s="3">
        <v>98708.06</v>
      </c>
      <c r="M780" s="9" t="s">
        <v>1960</v>
      </c>
      <c r="N780" s="2" t="s">
        <v>1881</v>
      </c>
      <c r="O780" s="3">
        <v>2135415969</v>
      </c>
      <c r="P780" t="s">
        <v>12</v>
      </c>
      <c r="Q780">
        <v>2</v>
      </c>
      <c r="R780" t="s">
        <v>1962</v>
      </c>
    </row>
    <row r="781" spans="1:18" x14ac:dyDescent="0.35">
      <c r="A781" t="s">
        <v>810</v>
      </c>
      <c r="B781" t="s">
        <v>9</v>
      </c>
      <c r="C781" t="s">
        <v>26</v>
      </c>
      <c r="D781" t="s">
        <v>1924</v>
      </c>
      <c r="E781" s="3">
        <v>30</v>
      </c>
      <c r="F781" t="s">
        <v>1813</v>
      </c>
      <c r="G781" t="s">
        <v>1818</v>
      </c>
      <c r="H781" t="s">
        <v>19</v>
      </c>
      <c r="I781" s="1" t="s">
        <v>1279</v>
      </c>
      <c r="J781" s="7">
        <v>5</v>
      </c>
      <c r="K781" s="7">
        <v>2020</v>
      </c>
      <c r="L781" s="3">
        <v>83856.41</v>
      </c>
      <c r="M781" s="9" t="s">
        <v>1959</v>
      </c>
      <c r="N781" s="2" t="s">
        <v>1859</v>
      </c>
      <c r="O781" s="3">
        <v>9962543847</v>
      </c>
      <c r="P781" t="s">
        <v>15</v>
      </c>
      <c r="Q781">
        <v>4</v>
      </c>
      <c r="R781" t="s">
        <v>1963</v>
      </c>
    </row>
    <row r="782" spans="1:18" x14ac:dyDescent="0.35">
      <c r="A782" t="s">
        <v>811</v>
      </c>
      <c r="B782" t="s">
        <v>22</v>
      </c>
      <c r="C782" t="s">
        <v>62</v>
      </c>
      <c r="D782" t="s">
        <v>1955</v>
      </c>
      <c r="E782" s="3">
        <v>40</v>
      </c>
      <c r="F782" t="s">
        <v>1821</v>
      </c>
      <c r="G782" t="s">
        <v>1814</v>
      </c>
      <c r="H782" t="s">
        <v>23</v>
      </c>
      <c r="I782" s="1" t="s">
        <v>1330</v>
      </c>
      <c r="J782" s="7">
        <v>2</v>
      </c>
      <c r="K782" s="7">
        <v>2022</v>
      </c>
      <c r="L782" s="3">
        <v>90259.99</v>
      </c>
      <c r="M782" s="9" t="s">
        <v>1960</v>
      </c>
      <c r="N782" s="2" t="s">
        <v>1890</v>
      </c>
      <c r="O782" s="3">
        <v>752034475</v>
      </c>
      <c r="P782" t="s">
        <v>12</v>
      </c>
      <c r="Q782">
        <v>2</v>
      </c>
      <c r="R782" t="s">
        <v>1963</v>
      </c>
    </row>
    <row r="783" spans="1:18" x14ac:dyDescent="0.35">
      <c r="A783" t="s">
        <v>812</v>
      </c>
      <c r="B783" t="s">
        <v>34</v>
      </c>
      <c r="C783" t="s">
        <v>26</v>
      </c>
      <c r="D783" t="s">
        <v>1910</v>
      </c>
      <c r="E783" s="3">
        <v>30</v>
      </c>
      <c r="F783" t="s">
        <v>1821</v>
      </c>
      <c r="G783" t="s">
        <v>1820</v>
      </c>
      <c r="H783" t="s">
        <v>19</v>
      </c>
      <c r="I783" s="1" t="s">
        <v>1690</v>
      </c>
      <c r="J783" s="7">
        <v>1</v>
      </c>
      <c r="K783" s="7">
        <v>2024</v>
      </c>
      <c r="L783" s="3">
        <v>94230.03</v>
      </c>
      <c r="M783" s="9" t="s">
        <v>1960</v>
      </c>
      <c r="N783" s="2" t="s">
        <v>1845</v>
      </c>
      <c r="O783" s="3">
        <v>5047158028</v>
      </c>
      <c r="P783" t="s">
        <v>15</v>
      </c>
      <c r="Q783">
        <v>4</v>
      </c>
      <c r="R783" t="s">
        <v>1962</v>
      </c>
    </row>
    <row r="784" spans="1:18" x14ac:dyDescent="0.35">
      <c r="A784" t="s">
        <v>813</v>
      </c>
      <c r="B784" t="s">
        <v>34</v>
      </c>
      <c r="C784" t="s">
        <v>29</v>
      </c>
      <c r="D784" t="s">
        <v>1909</v>
      </c>
      <c r="E784" s="3">
        <v>30</v>
      </c>
      <c r="F784" t="s">
        <v>1817</v>
      </c>
      <c r="G784" t="s">
        <v>1818</v>
      </c>
      <c r="H784" t="s">
        <v>23</v>
      </c>
      <c r="I784" s="1" t="s">
        <v>1567</v>
      </c>
      <c r="J784" s="7">
        <v>4</v>
      </c>
      <c r="K784" s="7">
        <v>2021</v>
      </c>
      <c r="L784" s="3">
        <v>50110.66</v>
      </c>
      <c r="M784" s="9" t="s">
        <v>1958</v>
      </c>
      <c r="N784" s="2" t="s">
        <v>1844</v>
      </c>
      <c r="O784" s="3">
        <v>904637659</v>
      </c>
      <c r="P784" t="s">
        <v>12</v>
      </c>
      <c r="Q784">
        <v>2</v>
      </c>
      <c r="R784" t="s">
        <v>1962</v>
      </c>
    </row>
    <row r="785" spans="1:18" x14ac:dyDescent="0.35">
      <c r="A785" t="s">
        <v>814</v>
      </c>
      <c r="B785" t="s">
        <v>9</v>
      </c>
      <c r="C785" t="s">
        <v>14</v>
      </c>
      <c r="D785" t="s">
        <v>1893</v>
      </c>
      <c r="E785" s="3">
        <v>30</v>
      </c>
      <c r="F785" t="s">
        <v>1821</v>
      </c>
      <c r="G785" t="s">
        <v>1820</v>
      </c>
      <c r="H785" t="s">
        <v>23</v>
      </c>
      <c r="I785" s="1" t="s">
        <v>1057</v>
      </c>
      <c r="J785" s="7">
        <v>5</v>
      </c>
      <c r="K785" s="7">
        <v>2020</v>
      </c>
      <c r="L785" s="3">
        <v>73365.460000000006</v>
      </c>
      <c r="M785" s="9" t="s">
        <v>1959</v>
      </c>
      <c r="N785" s="2" t="s">
        <v>1828</v>
      </c>
      <c r="O785" s="3">
        <v>4655866524</v>
      </c>
      <c r="P785" t="s">
        <v>27</v>
      </c>
      <c r="Q785">
        <v>1</v>
      </c>
      <c r="R785" t="s">
        <v>1963</v>
      </c>
    </row>
    <row r="786" spans="1:18" x14ac:dyDescent="0.35">
      <c r="A786" t="s">
        <v>815</v>
      </c>
      <c r="B786" t="s">
        <v>37</v>
      </c>
      <c r="C786" t="s">
        <v>35</v>
      </c>
      <c r="D786" t="s">
        <v>1937</v>
      </c>
      <c r="E786" s="3">
        <v>25</v>
      </c>
      <c r="F786" t="s">
        <v>1813</v>
      </c>
      <c r="G786" t="s">
        <v>1822</v>
      </c>
      <c r="H786" t="s">
        <v>19</v>
      </c>
      <c r="I786" s="1" t="s">
        <v>1691</v>
      </c>
      <c r="J786" s="7">
        <v>4</v>
      </c>
      <c r="K786" s="7">
        <v>2021</v>
      </c>
      <c r="L786" s="3">
        <v>67809.23</v>
      </c>
      <c r="M786" s="9" t="s">
        <v>1959</v>
      </c>
      <c r="N786" s="2" t="s">
        <v>1872</v>
      </c>
      <c r="O786" s="3">
        <v>4837441714</v>
      </c>
      <c r="P786" t="s">
        <v>15</v>
      </c>
      <c r="Q786">
        <v>4</v>
      </c>
      <c r="R786" t="s">
        <v>1963</v>
      </c>
    </row>
    <row r="787" spans="1:18" x14ac:dyDescent="0.35">
      <c r="A787" t="s">
        <v>816</v>
      </c>
      <c r="B787" t="s">
        <v>22</v>
      </c>
      <c r="C787" t="s">
        <v>62</v>
      </c>
      <c r="D787" t="s">
        <v>1955</v>
      </c>
      <c r="E787" s="3">
        <v>30</v>
      </c>
      <c r="F787" t="s">
        <v>1821</v>
      </c>
      <c r="G787" t="s">
        <v>1814</v>
      </c>
      <c r="H787" t="s">
        <v>11</v>
      </c>
      <c r="I787" s="1" t="s">
        <v>1224</v>
      </c>
      <c r="J787" s="7">
        <v>5</v>
      </c>
      <c r="K787" s="7">
        <v>2020</v>
      </c>
      <c r="L787" s="3">
        <v>98008.51</v>
      </c>
      <c r="M787" s="9" t="s">
        <v>1960</v>
      </c>
      <c r="N787" s="2" t="s">
        <v>1890</v>
      </c>
      <c r="O787" s="3">
        <v>8102131250</v>
      </c>
      <c r="P787" t="s">
        <v>12</v>
      </c>
      <c r="Q787">
        <v>2</v>
      </c>
      <c r="R787" t="s">
        <v>1963</v>
      </c>
    </row>
    <row r="788" spans="1:18" x14ac:dyDescent="0.35">
      <c r="A788" t="s">
        <v>817</v>
      </c>
      <c r="B788" t="s">
        <v>17</v>
      </c>
      <c r="C788" t="s">
        <v>10</v>
      </c>
      <c r="D788" t="s">
        <v>1928</v>
      </c>
      <c r="E788" s="3">
        <v>30</v>
      </c>
      <c r="F788" t="s">
        <v>1817</v>
      </c>
      <c r="G788" t="s">
        <v>1814</v>
      </c>
      <c r="H788" t="s">
        <v>23</v>
      </c>
      <c r="I788" s="1" t="s">
        <v>1297</v>
      </c>
      <c r="J788" s="7">
        <v>2</v>
      </c>
      <c r="K788" s="7">
        <v>2023</v>
      </c>
      <c r="L788" s="3">
        <v>83537.58</v>
      </c>
      <c r="M788" s="9" t="s">
        <v>1959</v>
      </c>
      <c r="N788" s="2" t="s">
        <v>1863</v>
      </c>
      <c r="O788" s="3">
        <v>2931100590</v>
      </c>
      <c r="P788" t="s">
        <v>27</v>
      </c>
      <c r="Q788">
        <v>1</v>
      </c>
      <c r="R788" t="s">
        <v>1963</v>
      </c>
    </row>
    <row r="789" spans="1:18" x14ac:dyDescent="0.35">
      <c r="A789" t="s">
        <v>818</v>
      </c>
      <c r="B789" t="s">
        <v>17</v>
      </c>
      <c r="C789" t="s">
        <v>29</v>
      </c>
      <c r="D789" t="s">
        <v>1897</v>
      </c>
      <c r="E789" s="3">
        <v>30</v>
      </c>
      <c r="F789" t="s">
        <v>1815</v>
      </c>
      <c r="G789" t="s">
        <v>1822</v>
      </c>
      <c r="H789" t="s">
        <v>19</v>
      </c>
      <c r="I789" s="1" t="s">
        <v>1598</v>
      </c>
      <c r="J789" s="7">
        <v>3</v>
      </c>
      <c r="K789" s="7">
        <v>2022</v>
      </c>
      <c r="L789" s="3">
        <v>112444.08</v>
      </c>
      <c r="M789" s="9" t="s">
        <v>1960</v>
      </c>
      <c r="N789" s="2" t="s">
        <v>1832</v>
      </c>
      <c r="O789" s="3">
        <v>2975191022</v>
      </c>
      <c r="P789" t="s">
        <v>15</v>
      </c>
      <c r="Q789">
        <v>4</v>
      </c>
      <c r="R789" t="s">
        <v>1962</v>
      </c>
    </row>
    <row r="790" spans="1:18" x14ac:dyDescent="0.35">
      <c r="A790" t="s">
        <v>819</v>
      </c>
      <c r="B790" t="s">
        <v>25</v>
      </c>
      <c r="C790" t="s">
        <v>29</v>
      </c>
      <c r="D790" t="s">
        <v>1932</v>
      </c>
      <c r="E790" s="3">
        <v>40</v>
      </c>
      <c r="F790" t="s">
        <v>1815</v>
      </c>
      <c r="G790" t="s">
        <v>1818</v>
      </c>
      <c r="H790" t="s">
        <v>11</v>
      </c>
      <c r="I790" s="1" t="s">
        <v>1521</v>
      </c>
      <c r="J790" s="7">
        <v>1</v>
      </c>
      <c r="K790" s="7">
        <v>2024</v>
      </c>
      <c r="L790" s="3">
        <v>86475.13</v>
      </c>
      <c r="M790" s="9" t="s">
        <v>1960</v>
      </c>
      <c r="N790" s="2" t="s">
        <v>1867</v>
      </c>
      <c r="O790" s="3">
        <v>1211063300</v>
      </c>
      <c r="P790" t="s">
        <v>27</v>
      </c>
      <c r="Q790">
        <v>1</v>
      </c>
      <c r="R790" t="s">
        <v>1962</v>
      </c>
    </row>
    <row r="791" spans="1:18" x14ac:dyDescent="0.35">
      <c r="A791" t="s">
        <v>820</v>
      </c>
      <c r="B791" t="s">
        <v>25</v>
      </c>
      <c r="C791" t="s">
        <v>10</v>
      </c>
      <c r="D791" t="s">
        <v>1900</v>
      </c>
      <c r="E791" s="3">
        <v>30</v>
      </c>
      <c r="F791" t="s">
        <v>1821</v>
      </c>
      <c r="G791" t="s">
        <v>1816</v>
      </c>
      <c r="H791" t="s">
        <v>11</v>
      </c>
      <c r="I791" s="1" t="s">
        <v>1692</v>
      </c>
      <c r="J791" s="7">
        <v>2</v>
      </c>
      <c r="K791" s="7">
        <v>2023</v>
      </c>
      <c r="L791" s="3">
        <v>97984.53</v>
      </c>
      <c r="M791" s="9" t="s">
        <v>1960</v>
      </c>
      <c r="N791" s="2" t="s">
        <v>1835</v>
      </c>
      <c r="O791" s="3">
        <v>6583737926</v>
      </c>
      <c r="P791" t="s">
        <v>20</v>
      </c>
      <c r="Q791">
        <v>3</v>
      </c>
      <c r="R791" t="s">
        <v>1962</v>
      </c>
    </row>
    <row r="792" spans="1:18" x14ac:dyDescent="0.35">
      <c r="A792" t="s">
        <v>821</v>
      </c>
      <c r="B792" t="s">
        <v>25</v>
      </c>
      <c r="C792" t="s">
        <v>50</v>
      </c>
      <c r="D792" t="s">
        <v>1914</v>
      </c>
      <c r="E792" s="3">
        <v>25</v>
      </c>
      <c r="F792" t="s">
        <v>1817</v>
      </c>
      <c r="G792" t="s">
        <v>1814</v>
      </c>
      <c r="H792" t="s">
        <v>11</v>
      </c>
      <c r="I792" s="1" t="s">
        <v>1693</v>
      </c>
      <c r="J792" s="7">
        <v>3</v>
      </c>
      <c r="K792" s="7">
        <v>2021</v>
      </c>
      <c r="L792" s="3">
        <v>118853.31</v>
      </c>
      <c r="M792" s="9" t="s">
        <v>1960</v>
      </c>
      <c r="N792" s="2" t="s">
        <v>1849</v>
      </c>
      <c r="O792" s="3">
        <v>4907280122</v>
      </c>
      <c r="P792" t="s">
        <v>20</v>
      </c>
      <c r="Q792">
        <v>3</v>
      </c>
      <c r="R792" t="s">
        <v>1963</v>
      </c>
    </row>
    <row r="793" spans="1:18" x14ac:dyDescent="0.35">
      <c r="A793" t="s">
        <v>822</v>
      </c>
      <c r="B793" t="s">
        <v>34</v>
      </c>
      <c r="C793" t="s">
        <v>29</v>
      </c>
      <c r="D793" t="s">
        <v>1909</v>
      </c>
      <c r="E793" s="3">
        <v>30</v>
      </c>
      <c r="F793" t="s">
        <v>1821</v>
      </c>
      <c r="G793" t="s">
        <v>1820</v>
      </c>
      <c r="H793" t="s">
        <v>11</v>
      </c>
      <c r="I793" s="1" t="s">
        <v>1086</v>
      </c>
      <c r="J793" s="7">
        <v>2</v>
      </c>
      <c r="K793" s="7">
        <v>2023</v>
      </c>
      <c r="L793" s="3">
        <v>58179.12</v>
      </c>
      <c r="M793" s="9" t="s">
        <v>1958</v>
      </c>
      <c r="N793" s="2" t="s">
        <v>1844</v>
      </c>
      <c r="O793" s="3">
        <v>4289311324</v>
      </c>
      <c r="P793" t="s">
        <v>15</v>
      </c>
      <c r="Q793">
        <v>4</v>
      </c>
      <c r="R793" t="s">
        <v>1963</v>
      </c>
    </row>
    <row r="794" spans="1:18" x14ac:dyDescent="0.35">
      <c r="A794" t="s">
        <v>823</v>
      </c>
      <c r="B794" t="s">
        <v>22</v>
      </c>
      <c r="C794" t="s">
        <v>18</v>
      </c>
      <c r="D794" t="s">
        <v>1945</v>
      </c>
      <c r="E794" s="3">
        <v>35</v>
      </c>
      <c r="F794" t="s">
        <v>1813</v>
      </c>
      <c r="G794" t="s">
        <v>1816</v>
      </c>
      <c r="H794" t="s">
        <v>23</v>
      </c>
      <c r="I794" s="1" t="s">
        <v>1694</v>
      </c>
      <c r="J794" s="7">
        <v>3</v>
      </c>
      <c r="K794" s="7">
        <v>2022</v>
      </c>
      <c r="L794" s="3">
        <v>56075.839999999997</v>
      </c>
      <c r="M794" s="9" t="s">
        <v>1958</v>
      </c>
      <c r="N794" s="2" t="s">
        <v>1880</v>
      </c>
      <c r="O794" s="3">
        <v>3269496842</v>
      </c>
      <c r="P794" t="s">
        <v>12</v>
      </c>
      <c r="Q794">
        <v>2</v>
      </c>
      <c r="R794" t="s">
        <v>1962</v>
      </c>
    </row>
    <row r="795" spans="1:18" x14ac:dyDescent="0.35">
      <c r="A795" t="s">
        <v>824</v>
      </c>
      <c r="B795" t="s">
        <v>25</v>
      </c>
      <c r="C795" t="s">
        <v>14</v>
      </c>
      <c r="D795" t="s">
        <v>1940</v>
      </c>
      <c r="E795" s="3">
        <v>40</v>
      </c>
      <c r="F795" t="s">
        <v>1823</v>
      </c>
      <c r="G795" t="s">
        <v>1822</v>
      </c>
      <c r="H795" t="s">
        <v>19</v>
      </c>
      <c r="I795" s="1" t="s">
        <v>1695</v>
      </c>
      <c r="J795" s="7">
        <v>4</v>
      </c>
      <c r="K795" s="7">
        <v>2021</v>
      </c>
      <c r="L795" s="3">
        <v>62250.89</v>
      </c>
      <c r="M795" s="9" t="s">
        <v>1959</v>
      </c>
      <c r="N795" s="2" t="s">
        <v>1875</v>
      </c>
      <c r="O795" s="3">
        <v>6453804420</v>
      </c>
      <c r="P795" t="s">
        <v>15</v>
      </c>
      <c r="Q795">
        <v>4</v>
      </c>
      <c r="R795" t="s">
        <v>1962</v>
      </c>
    </row>
    <row r="796" spans="1:18" x14ac:dyDescent="0.35">
      <c r="A796" t="s">
        <v>825</v>
      </c>
      <c r="B796" t="s">
        <v>17</v>
      </c>
      <c r="C796" t="s">
        <v>62</v>
      </c>
      <c r="D796" t="s">
        <v>1933</v>
      </c>
      <c r="E796" s="3">
        <v>30</v>
      </c>
      <c r="F796" t="s">
        <v>1819</v>
      </c>
      <c r="G796" t="s">
        <v>1820</v>
      </c>
      <c r="H796" t="s">
        <v>19</v>
      </c>
      <c r="I796" s="1" t="s">
        <v>1681</v>
      </c>
      <c r="J796" s="7">
        <v>5</v>
      </c>
      <c r="K796" s="7">
        <v>2020</v>
      </c>
      <c r="L796" s="3">
        <v>105931.77</v>
      </c>
      <c r="M796" s="9" t="s">
        <v>1960</v>
      </c>
      <c r="N796" s="2" t="s">
        <v>1868</v>
      </c>
      <c r="O796" s="3">
        <v>175096169</v>
      </c>
      <c r="P796" t="s">
        <v>27</v>
      </c>
      <c r="Q796">
        <v>1</v>
      </c>
      <c r="R796" t="s">
        <v>1962</v>
      </c>
    </row>
    <row r="797" spans="1:18" x14ac:dyDescent="0.35">
      <c r="A797" t="s">
        <v>826</v>
      </c>
      <c r="B797" t="s">
        <v>34</v>
      </c>
      <c r="C797" t="s">
        <v>10</v>
      </c>
      <c r="D797" t="s">
        <v>1931</v>
      </c>
      <c r="E797" s="3">
        <v>30</v>
      </c>
      <c r="F797" t="s">
        <v>1823</v>
      </c>
      <c r="G797" t="s">
        <v>1820</v>
      </c>
      <c r="H797" t="s">
        <v>19</v>
      </c>
      <c r="I797" s="1" t="s">
        <v>1696</v>
      </c>
      <c r="J797" s="7">
        <v>0</v>
      </c>
      <c r="K797" s="7">
        <v>2024</v>
      </c>
      <c r="L797" s="3">
        <v>86653.96</v>
      </c>
      <c r="M797" s="9" t="s">
        <v>1960</v>
      </c>
      <c r="N797" s="2" t="s">
        <v>1866</v>
      </c>
      <c r="O797" s="3">
        <v>1595919456</v>
      </c>
      <c r="P797" t="s">
        <v>12</v>
      </c>
      <c r="Q797">
        <v>2</v>
      </c>
      <c r="R797" t="s">
        <v>1962</v>
      </c>
    </row>
    <row r="798" spans="1:18" x14ac:dyDescent="0.35">
      <c r="A798" t="s">
        <v>827</v>
      </c>
      <c r="B798" t="s">
        <v>34</v>
      </c>
      <c r="C798" t="s">
        <v>18</v>
      </c>
      <c r="D798" t="s">
        <v>1916</v>
      </c>
      <c r="E798" s="3">
        <v>25</v>
      </c>
      <c r="F798" t="s">
        <v>1821</v>
      </c>
      <c r="G798" t="s">
        <v>1818</v>
      </c>
      <c r="H798" t="s">
        <v>11</v>
      </c>
      <c r="I798" s="1" t="s">
        <v>1589</v>
      </c>
      <c r="J798" s="7">
        <v>4</v>
      </c>
      <c r="K798" s="7">
        <v>2021</v>
      </c>
      <c r="L798" s="3">
        <v>100719.94</v>
      </c>
      <c r="M798" s="9" t="s">
        <v>1960</v>
      </c>
      <c r="N798" s="2" t="s">
        <v>1851</v>
      </c>
      <c r="O798" s="3">
        <v>5757475832</v>
      </c>
      <c r="P798" t="s">
        <v>20</v>
      </c>
      <c r="Q798">
        <v>3</v>
      </c>
      <c r="R798" t="s">
        <v>1963</v>
      </c>
    </row>
    <row r="799" spans="1:18" x14ac:dyDescent="0.35">
      <c r="A799" t="s">
        <v>828</v>
      </c>
      <c r="B799" t="s">
        <v>9</v>
      </c>
      <c r="C799" t="s">
        <v>10</v>
      </c>
      <c r="D799" t="s">
        <v>1892</v>
      </c>
      <c r="E799" s="3">
        <v>25</v>
      </c>
      <c r="F799" t="s">
        <v>1823</v>
      </c>
      <c r="G799" t="s">
        <v>1816</v>
      </c>
      <c r="H799" t="s">
        <v>19</v>
      </c>
      <c r="I799" s="1" t="s">
        <v>1202</v>
      </c>
      <c r="J799" s="7">
        <v>1</v>
      </c>
      <c r="K799" s="7">
        <v>2024</v>
      </c>
      <c r="L799" s="3">
        <v>91600.13</v>
      </c>
      <c r="M799" s="9" t="s">
        <v>1960</v>
      </c>
      <c r="N799" s="2" t="s">
        <v>1827</v>
      </c>
      <c r="O799" s="3">
        <v>9205677566</v>
      </c>
      <c r="P799" t="s">
        <v>12</v>
      </c>
      <c r="Q799">
        <v>2</v>
      </c>
      <c r="R799" t="s">
        <v>1962</v>
      </c>
    </row>
    <row r="800" spans="1:18" x14ac:dyDescent="0.35">
      <c r="A800" t="s">
        <v>829</v>
      </c>
      <c r="B800" t="s">
        <v>40</v>
      </c>
      <c r="C800" t="s">
        <v>62</v>
      </c>
      <c r="D800" t="s">
        <v>1951</v>
      </c>
      <c r="E800" s="3">
        <v>25</v>
      </c>
      <c r="F800" t="s">
        <v>1819</v>
      </c>
      <c r="G800" t="s">
        <v>1824</v>
      </c>
      <c r="H800" t="s">
        <v>19</v>
      </c>
      <c r="I800" s="1" t="s">
        <v>1697</v>
      </c>
      <c r="J800" s="7">
        <v>1</v>
      </c>
      <c r="K800" s="7">
        <v>2024</v>
      </c>
      <c r="L800" s="3">
        <v>71873.66</v>
      </c>
      <c r="M800" s="9" t="s">
        <v>1959</v>
      </c>
      <c r="N800" s="2" t="s">
        <v>1886</v>
      </c>
      <c r="O800" s="3">
        <v>7722660255</v>
      </c>
      <c r="P800" t="s">
        <v>20</v>
      </c>
      <c r="Q800">
        <v>3</v>
      </c>
      <c r="R800" t="s">
        <v>1962</v>
      </c>
    </row>
    <row r="801" spans="1:18" x14ac:dyDescent="0.35">
      <c r="A801" t="s">
        <v>830</v>
      </c>
      <c r="B801" t="s">
        <v>22</v>
      </c>
      <c r="C801" t="s">
        <v>26</v>
      </c>
      <c r="D801" t="s">
        <v>1923</v>
      </c>
      <c r="E801" s="3">
        <v>30</v>
      </c>
      <c r="F801" t="s">
        <v>1823</v>
      </c>
      <c r="G801" t="s">
        <v>1822</v>
      </c>
      <c r="H801" t="s">
        <v>11</v>
      </c>
      <c r="I801" s="1" t="s">
        <v>1546</v>
      </c>
      <c r="J801" s="7">
        <v>4</v>
      </c>
      <c r="K801" s="7">
        <v>2021</v>
      </c>
      <c r="L801" s="3">
        <v>69365.47</v>
      </c>
      <c r="M801" s="9" t="s">
        <v>1959</v>
      </c>
      <c r="N801" s="2" t="s">
        <v>1858</v>
      </c>
      <c r="O801" s="3">
        <v>2650622922</v>
      </c>
      <c r="P801" t="s">
        <v>12</v>
      </c>
      <c r="Q801">
        <v>2</v>
      </c>
      <c r="R801" t="s">
        <v>1962</v>
      </c>
    </row>
    <row r="802" spans="1:18" x14ac:dyDescent="0.35">
      <c r="A802" t="s">
        <v>831</v>
      </c>
      <c r="B802" t="s">
        <v>40</v>
      </c>
      <c r="C802" t="s">
        <v>62</v>
      </c>
      <c r="D802" t="s">
        <v>1951</v>
      </c>
      <c r="E802" s="3">
        <v>25</v>
      </c>
      <c r="F802" t="s">
        <v>1823</v>
      </c>
      <c r="G802" t="s">
        <v>1822</v>
      </c>
      <c r="H802" t="s">
        <v>11</v>
      </c>
      <c r="I802" s="1" t="s">
        <v>1541</v>
      </c>
      <c r="J802" s="7">
        <v>4</v>
      </c>
      <c r="K802" s="7">
        <v>2021</v>
      </c>
      <c r="L802" s="3">
        <v>58012.23</v>
      </c>
      <c r="M802" s="9" t="s">
        <v>1958</v>
      </c>
      <c r="N802" s="2" t="s">
        <v>1886</v>
      </c>
      <c r="O802" s="3">
        <v>1067245306</v>
      </c>
      <c r="P802" t="s">
        <v>12</v>
      </c>
      <c r="Q802">
        <v>2</v>
      </c>
      <c r="R802" t="s">
        <v>1962</v>
      </c>
    </row>
    <row r="803" spans="1:18" x14ac:dyDescent="0.35">
      <c r="A803" t="s">
        <v>832</v>
      </c>
      <c r="B803" t="s">
        <v>9</v>
      </c>
      <c r="C803" t="s">
        <v>50</v>
      </c>
      <c r="D803" t="s">
        <v>1911</v>
      </c>
      <c r="E803" s="3">
        <v>30</v>
      </c>
      <c r="F803" t="s">
        <v>1821</v>
      </c>
      <c r="G803" t="s">
        <v>1814</v>
      </c>
      <c r="H803" t="s">
        <v>19</v>
      </c>
      <c r="I803" s="1" t="s">
        <v>1254</v>
      </c>
      <c r="J803" s="7">
        <v>4</v>
      </c>
      <c r="K803" s="7">
        <v>2021</v>
      </c>
      <c r="L803" s="3">
        <v>68973.649999999994</v>
      </c>
      <c r="M803" s="9" t="s">
        <v>1959</v>
      </c>
      <c r="N803" s="2" t="s">
        <v>1846</v>
      </c>
      <c r="O803" s="3">
        <v>6248433796</v>
      </c>
      <c r="P803" t="s">
        <v>12</v>
      </c>
      <c r="Q803">
        <v>2</v>
      </c>
      <c r="R803" t="s">
        <v>1962</v>
      </c>
    </row>
    <row r="804" spans="1:18" x14ac:dyDescent="0.35">
      <c r="A804" t="s">
        <v>833</v>
      </c>
      <c r="B804" t="s">
        <v>22</v>
      </c>
      <c r="C804" t="s">
        <v>62</v>
      </c>
      <c r="D804" t="s">
        <v>1955</v>
      </c>
      <c r="E804" s="3">
        <v>30</v>
      </c>
      <c r="F804" t="s">
        <v>1817</v>
      </c>
      <c r="G804" t="s">
        <v>1822</v>
      </c>
      <c r="H804" t="s">
        <v>11</v>
      </c>
      <c r="I804" s="1" t="s">
        <v>1488</v>
      </c>
      <c r="J804" s="7">
        <v>4</v>
      </c>
      <c r="K804" s="7">
        <v>2021</v>
      </c>
      <c r="L804" s="3">
        <v>92928.4</v>
      </c>
      <c r="M804" s="9" t="s">
        <v>1960</v>
      </c>
      <c r="N804" s="2" t="s">
        <v>1890</v>
      </c>
      <c r="O804" s="3">
        <v>6627051156</v>
      </c>
      <c r="P804" t="s">
        <v>27</v>
      </c>
      <c r="Q804">
        <v>1</v>
      </c>
      <c r="R804" t="s">
        <v>1962</v>
      </c>
    </row>
    <row r="805" spans="1:18" x14ac:dyDescent="0.35">
      <c r="A805" t="s">
        <v>834</v>
      </c>
      <c r="B805" t="s">
        <v>40</v>
      </c>
      <c r="C805" t="s">
        <v>62</v>
      </c>
      <c r="D805" t="s">
        <v>1951</v>
      </c>
      <c r="E805" s="3">
        <v>25</v>
      </c>
      <c r="F805" t="s">
        <v>1817</v>
      </c>
      <c r="G805" t="s">
        <v>1816</v>
      </c>
      <c r="H805" t="s">
        <v>23</v>
      </c>
      <c r="I805" s="1" t="s">
        <v>1698</v>
      </c>
      <c r="J805" s="7">
        <v>2</v>
      </c>
      <c r="K805" s="7">
        <v>2023</v>
      </c>
      <c r="L805" s="3">
        <v>53531.92</v>
      </c>
      <c r="M805" s="9" t="s">
        <v>1958</v>
      </c>
      <c r="N805" s="2" t="s">
        <v>1886</v>
      </c>
      <c r="O805" s="3">
        <v>9423873669</v>
      </c>
      <c r="P805" t="s">
        <v>27</v>
      </c>
      <c r="Q805">
        <v>1</v>
      </c>
      <c r="R805" t="s">
        <v>1962</v>
      </c>
    </row>
    <row r="806" spans="1:18" x14ac:dyDescent="0.35">
      <c r="A806" t="s">
        <v>835</v>
      </c>
      <c r="B806" t="s">
        <v>9</v>
      </c>
      <c r="C806" t="s">
        <v>50</v>
      </c>
      <c r="D806" t="s">
        <v>1911</v>
      </c>
      <c r="E806" s="3">
        <v>40</v>
      </c>
      <c r="F806" t="s">
        <v>1815</v>
      </c>
      <c r="G806" t="s">
        <v>1822</v>
      </c>
      <c r="H806" t="s">
        <v>19</v>
      </c>
      <c r="I806" s="1" t="s">
        <v>1699</v>
      </c>
      <c r="J806" s="7">
        <v>2</v>
      </c>
      <c r="K806" s="7">
        <v>2023</v>
      </c>
      <c r="L806" s="3">
        <v>112389.31</v>
      </c>
      <c r="M806" s="9" t="s">
        <v>1960</v>
      </c>
      <c r="N806" s="2" t="s">
        <v>1846</v>
      </c>
      <c r="O806" s="3">
        <v>4254969191</v>
      </c>
      <c r="P806" t="s">
        <v>15</v>
      </c>
      <c r="Q806">
        <v>4</v>
      </c>
      <c r="R806" t="s">
        <v>1963</v>
      </c>
    </row>
    <row r="807" spans="1:18" x14ac:dyDescent="0.35">
      <c r="A807" t="s">
        <v>836</v>
      </c>
      <c r="B807" t="s">
        <v>40</v>
      </c>
      <c r="C807" t="s">
        <v>14</v>
      </c>
      <c r="D807" t="s">
        <v>1953</v>
      </c>
      <c r="E807" s="3">
        <v>30</v>
      </c>
      <c r="F807" t="s">
        <v>1823</v>
      </c>
      <c r="G807" t="s">
        <v>1814</v>
      </c>
      <c r="H807" t="s">
        <v>23</v>
      </c>
      <c r="I807" s="1" t="s">
        <v>1700</v>
      </c>
      <c r="J807" s="7">
        <v>1</v>
      </c>
      <c r="K807" s="7">
        <v>2024</v>
      </c>
      <c r="L807" s="3">
        <v>63870.3</v>
      </c>
      <c r="M807" s="9" t="s">
        <v>1959</v>
      </c>
      <c r="N807" s="2" t="s">
        <v>1888</v>
      </c>
      <c r="O807" s="3">
        <v>8455259709</v>
      </c>
      <c r="P807" t="s">
        <v>15</v>
      </c>
      <c r="Q807">
        <v>4</v>
      </c>
      <c r="R807" t="s">
        <v>1963</v>
      </c>
    </row>
    <row r="808" spans="1:18" x14ac:dyDescent="0.35">
      <c r="A808" t="s">
        <v>837</v>
      </c>
      <c r="B808" t="s">
        <v>9</v>
      </c>
      <c r="C808" t="s">
        <v>29</v>
      </c>
      <c r="D808" t="s">
        <v>1926</v>
      </c>
      <c r="E808" s="3">
        <v>40</v>
      </c>
      <c r="F808" t="s">
        <v>1821</v>
      </c>
      <c r="G808" t="s">
        <v>1822</v>
      </c>
      <c r="H808" t="s">
        <v>11</v>
      </c>
      <c r="I808" s="1" t="s">
        <v>1701</v>
      </c>
      <c r="J808" s="7">
        <v>1</v>
      </c>
      <c r="K808" s="7">
        <v>2024</v>
      </c>
      <c r="L808" s="3">
        <v>106164.53</v>
      </c>
      <c r="M808" s="9" t="s">
        <v>1960</v>
      </c>
      <c r="N808" s="2" t="s">
        <v>1861</v>
      </c>
      <c r="O808" s="3">
        <v>7563353573</v>
      </c>
      <c r="P808" t="s">
        <v>20</v>
      </c>
      <c r="Q808">
        <v>3</v>
      </c>
      <c r="R808" t="s">
        <v>1963</v>
      </c>
    </row>
    <row r="809" spans="1:18" x14ac:dyDescent="0.35">
      <c r="A809" t="s">
        <v>838</v>
      </c>
      <c r="B809" t="s">
        <v>9</v>
      </c>
      <c r="C809" t="s">
        <v>62</v>
      </c>
      <c r="D809" t="s">
        <v>1917</v>
      </c>
      <c r="E809" s="3">
        <v>40</v>
      </c>
      <c r="F809" t="s">
        <v>1823</v>
      </c>
      <c r="G809" t="s">
        <v>1818</v>
      </c>
      <c r="H809" t="s">
        <v>19</v>
      </c>
      <c r="I809" s="1" t="s">
        <v>1404</v>
      </c>
      <c r="J809" s="7">
        <v>1</v>
      </c>
      <c r="K809" s="7">
        <v>2023</v>
      </c>
      <c r="L809" s="3">
        <v>103654.54</v>
      </c>
      <c r="M809" s="9" t="s">
        <v>1960</v>
      </c>
      <c r="N809" s="2" t="s">
        <v>1852</v>
      </c>
      <c r="O809" s="3">
        <v>8595325938</v>
      </c>
      <c r="P809" t="s">
        <v>27</v>
      </c>
      <c r="Q809">
        <v>1</v>
      </c>
      <c r="R809" t="s">
        <v>1963</v>
      </c>
    </row>
    <row r="810" spans="1:18" x14ac:dyDescent="0.35">
      <c r="A810" t="s">
        <v>839</v>
      </c>
      <c r="B810" t="s">
        <v>37</v>
      </c>
      <c r="C810" t="s">
        <v>50</v>
      </c>
      <c r="D810" t="s">
        <v>1913</v>
      </c>
      <c r="E810" s="3">
        <v>30</v>
      </c>
      <c r="F810" t="s">
        <v>1821</v>
      </c>
      <c r="G810" t="s">
        <v>1814</v>
      </c>
      <c r="H810" t="s">
        <v>23</v>
      </c>
      <c r="I810" s="1" t="s">
        <v>1702</v>
      </c>
      <c r="J810" s="7">
        <v>3</v>
      </c>
      <c r="K810" s="7">
        <v>2022</v>
      </c>
      <c r="L810" s="3">
        <v>62834.720000000001</v>
      </c>
      <c r="M810" s="9" t="s">
        <v>1959</v>
      </c>
      <c r="N810" s="2" t="s">
        <v>1848</v>
      </c>
      <c r="O810" s="3">
        <v>9337970580</v>
      </c>
      <c r="P810" t="s">
        <v>20</v>
      </c>
      <c r="Q810">
        <v>3</v>
      </c>
      <c r="R810" t="s">
        <v>1962</v>
      </c>
    </row>
    <row r="811" spans="1:18" x14ac:dyDescent="0.35">
      <c r="A811" t="s">
        <v>840</v>
      </c>
      <c r="B811" t="s">
        <v>25</v>
      </c>
      <c r="C811" t="s">
        <v>18</v>
      </c>
      <c r="D811" t="s">
        <v>1898</v>
      </c>
      <c r="E811" s="3">
        <v>35</v>
      </c>
      <c r="F811" t="s">
        <v>1815</v>
      </c>
      <c r="G811" t="s">
        <v>1820</v>
      </c>
      <c r="H811" t="s">
        <v>11</v>
      </c>
      <c r="I811" s="1" t="s">
        <v>1703</v>
      </c>
      <c r="J811" s="7">
        <v>5</v>
      </c>
      <c r="K811" s="7">
        <v>2020</v>
      </c>
      <c r="L811" s="3">
        <v>83273.41</v>
      </c>
      <c r="M811" s="9" t="s">
        <v>1959</v>
      </c>
      <c r="N811" s="2" t="s">
        <v>1833</v>
      </c>
      <c r="O811" s="3">
        <v>6295187793</v>
      </c>
      <c r="P811" t="s">
        <v>15</v>
      </c>
      <c r="Q811">
        <v>4</v>
      </c>
      <c r="R811" t="s">
        <v>1963</v>
      </c>
    </row>
    <row r="812" spans="1:18" x14ac:dyDescent="0.35">
      <c r="A812" t="s">
        <v>841</v>
      </c>
      <c r="B812" t="s">
        <v>40</v>
      </c>
      <c r="C812" t="s">
        <v>26</v>
      </c>
      <c r="D812" t="s">
        <v>1904</v>
      </c>
      <c r="E812" s="3">
        <v>30</v>
      </c>
      <c r="F812" t="s">
        <v>1823</v>
      </c>
      <c r="G812" t="s">
        <v>1814</v>
      </c>
      <c r="H812" t="s">
        <v>19</v>
      </c>
      <c r="I812" s="1" t="s">
        <v>1704</v>
      </c>
      <c r="J812" s="7">
        <v>2</v>
      </c>
      <c r="K812" s="7">
        <v>2023</v>
      </c>
      <c r="L812" s="3">
        <v>58917.58</v>
      </c>
      <c r="M812" s="9" t="s">
        <v>1958</v>
      </c>
      <c r="N812" s="2" t="s">
        <v>1839</v>
      </c>
      <c r="O812" s="3">
        <v>1763425072</v>
      </c>
      <c r="P812" t="s">
        <v>20</v>
      </c>
      <c r="Q812">
        <v>3</v>
      </c>
      <c r="R812" t="s">
        <v>1963</v>
      </c>
    </row>
    <row r="813" spans="1:18" x14ac:dyDescent="0.35">
      <c r="A813" t="s">
        <v>842</v>
      </c>
      <c r="B813" t="s">
        <v>9</v>
      </c>
      <c r="C813" t="s">
        <v>26</v>
      </c>
      <c r="D813" t="s">
        <v>1924</v>
      </c>
      <c r="E813" s="3">
        <v>35</v>
      </c>
      <c r="F813" t="s">
        <v>1821</v>
      </c>
      <c r="G813" t="s">
        <v>1818</v>
      </c>
      <c r="H813" t="s">
        <v>11</v>
      </c>
      <c r="I813" s="1" t="s">
        <v>1065</v>
      </c>
      <c r="J813" s="7">
        <v>1</v>
      </c>
      <c r="K813" s="7">
        <v>2024</v>
      </c>
      <c r="L813" s="3">
        <v>71148.27</v>
      </c>
      <c r="M813" s="9" t="s">
        <v>1959</v>
      </c>
      <c r="N813" s="2" t="s">
        <v>1859</v>
      </c>
      <c r="O813" s="3">
        <v>3055978244</v>
      </c>
      <c r="P813" t="s">
        <v>15</v>
      </c>
      <c r="Q813">
        <v>4</v>
      </c>
      <c r="R813" t="s">
        <v>1962</v>
      </c>
    </row>
    <row r="814" spans="1:18" x14ac:dyDescent="0.35">
      <c r="A814" t="s">
        <v>843</v>
      </c>
      <c r="B814" t="s">
        <v>42</v>
      </c>
      <c r="C814" t="s">
        <v>62</v>
      </c>
      <c r="D814" t="s">
        <v>1921</v>
      </c>
      <c r="E814" s="3">
        <v>30</v>
      </c>
      <c r="F814" t="s">
        <v>1821</v>
      </c>
      <c r="G814" t="s">
        <v>1822</v>
      </c>
      <c r="H814" t="s">
        <v>19</v>
      </c>
      <c r="I814" s="1" t="s">
        <v>1705</v>
      </c>
      <c r="J814" s="7">
        <v>5</v>
      </c>
      <c r="K814" s="7">
        <v>2020</v>
      </c>
      <c r="L814" s="3">
        <v>118172.42</v>
      </c>
      <c r="M814" s="9" t="s">
        <v>1960</v>
      </c>
      <c r="N814" s="2" t="s">
        <v>1856</v>
      </c>
      <c r="O814" s="3">
        <v>7598339913</v>
      </c>
      <c r="P814" t="s">
        <v>27</v>
      </c>
      <c r="Q814">
        <v>1</v>
      </c>
      <c r="R814" t="s">
        <v>1962</v>
      </c>
    </row>
    <row r="815" spans="1:18" x14ac:dyDescent="0.35">
      <c r="A815" t="s">
        <v>844</v>
      </c>
      <c r="B815" t="s">
        <v>25</v>
      </c>
      <c r="C815" t="s">
        <v>14</v>
      </c>
      <c r="D815" t="s">
        <v>1940</v>
      </c>
      <c r="E815" s="3">
        <v>30</v>
      </c>
      <c r="F815" t="s">
        <v>1813</v>
      </c>
      <c r="G815" t="s">
        <v>1824</v>
      </c>
      <c r="H815" t="s">
        <v>23</v>
      </c>
      <c r="I815" s="1" t="s">
        <v>1547</v>
      </c>
      <c r="J815" s="7">
        <v>1</v>
      </c>
      <c r="K815" s="7">
        <v>2024</v>
      </c>
      <c r="L815" s="3">
        <v>118614.37</v>
      </c>
      <c r="M815" s="9" t="s">
        <v>1960</v>
      </c>
      <c r="N815" s="2" t="s">
        <v>1875</v>
      </c>
      <c r="O815" s="3">
        <v>388436603</v>
      </c>
      <c r="P815" t="s">
        <v>12</v>
      </c>
      <c r="Q815">
        <v>2</v>
      </c>
      <c r="R815" t="s">
        <v>1963</v>
      </c>
    </row>
    <row r="816" spans="1:18" x14ac:dyDescent="0.35">
      <c r="A816" t="s">
        <v>845</v>
      </c>
      <c r="B816" t="s">
        <v>25</v>
      </c>
      <c r="C816" t="s">
        <v>14</v>
      </c>
      <c r="D816" t="s">
        <v>1940</v>
      </c>
      <c r="E816" s="3">
        <v>30</v>
      </c>
      <c r="F816" t="s">
        <v>1813</v>
      </c>
      <c r="G816" t="s">
        <v>1822</v>
      </c>
      <c r="H816" t="s">
        <v>11</v>
      </c>
      <c r="I816" s="1" t="s">
        <v>1706</v>
      </c>
      <c r="J816" s="7">
        <v>2</v>
      </c>
      <c r="K816" s="7">
        <v>2023</v>
      </c>
      <c r="L816" s="3">
        <v>96872.36</v>
      </c>
      <c r="M816" s="9" t="s">
        <v>1960</v>
      </c>
      <c r="N816" s="2" t="s">
        <v>1875</v>
      </c>
      <c r="O816" s="3">
        <v>4324006156</v>
      </c>
      <c r="P816" t="s">
        <v>27</v>
      </c>
      <c r="Q816">
        <v>1</v>
      </c>
      <c r="R816" t="s">
        <v>1963</v>
      </c>
    </row>
    <row r="817" spans="1:18" x14ac:dyDescent="0.35">
      <c r="A817" t="s">
        <v>846</v>
      </c>
      <c r="B817" t="s">
        <v>40</v>
      </c>
      <c r="C817" t="s">
        <v>18</v>
      </c>
      <c r="D817" t="s">
        <v>1947</v>
      </c>
      <c r="E817" s="3">
        <v>25</v>
      </c>
      <c r="F817" t="s">
        <v>1821</v>
      </c>
      <c r="G817" t="s">
        <v>1824</v>
      </c>
      <c r="H817" t="s">
        <v>23</v>
      </c>
      <c r="I817" s="1" t="s">
        <v>1707</v>
      </c>
      <c r="J817" s="7">
        <v>4</v>
      </c>
      <c r="K817" s="7">
        <v>2021</v>
      </c>
      <c r="L817" s="3">
        <v>88856.14</v>
      </c>
      <c r="M817" s="9" t="s">
        <v>1960</v>
      </c>
      <c r="N817" s="2" t="s">
        <v>1882</v>
      </c>
      <c r="O817" s="3">
        <v>2768297513</v>
      </c>
      <c r="P817" t="s">
        <v>20</v>
      </c>
      <c r="Q817">
        <v>3</v>
      </c>
      <c r="R817" t="s">
        <v>1962</v>
      </c>
    </row>
    <row r="818" spans="1:18" x14ac:dyDescent="0.35">
      <c r="A818" t="s">
        <v>847</v>
      </c>
      <c r="B818" t="s">
        <v>34</v>
      </c>
      <c r="C818" t="s">
        <v>62</v>
      </c>
      <c r="D818" t="s">
        <v>1934</v>
      </c>
      <c r="E818" s="3">
        <v>35</v>
      </c>
      <c r="F818" t="s">
        <v>1815</v>
      </c>
      <c r="G818" t="s">
        <v>1816</v>
      </c>
      <c r="H818" t="s">
        <v>19</v>
      </c>
      <c r="I818" s="1" t="s">
        <v>1103</v>
      </c>
      <c r="J818" s="7">
        <v>5</v>
      </c>
      <c r="K818" s="7">
        <v>2020</v>
      </c>
      <c r="L818" s="3">
        <v>97985.61</v>
      </c>
      <c r="M818" s="9" t="s">
        <v>1960</v>
      </c>
      <c r="N818" s="2" t="s">
        <v>1869</v>
      </c>
      <c r="O818" s="3">
        <v>7439742924</v>
      </c>
      <c r="P818" t="s">
        <v>20</v>
      </c>
      <c r="Q818">
        <v>3</v>
      </c>
      <c r="R818" t="s">
        <v>1963</v>
      </c>
    </row>
    <row r="819" spans="1:18" x14ac:dyDescent="0.35">
      <c r="A819" t="s">
        <v>848</v>
      </c>
      <c r="B819" t="s">
        <v>42</v>
      </c>
      <c r="C819" t="s">
        <v>26</v>
      </c>
      <c r="D819" t="s">
        <v>1905</v>
      </c>
      <c r="E819" s="3">
        <v>35</v>
      </c>
      <c r="F819" t="s">
        <v>1815</v>
      </c>
      <c r="G819" t="s">
        <v>1818</v>
      </c>
      <c r="H819" t="s">
        <v>19</v>
      </c>
      <c r="I819" s="1" t="s">
        <v>1708</v>
      </c>
      <c r="J819" s="7">
        <v>5</v>
      </c>
      <c r="K819" s="7">
        <v>2020</v>
      </c>
      <c r="L819" s="3">
        <v>56337.31</v>
      </c>
      <c r="M819" s="9" t="s">
        <v>1958</v>
      </c>
      <c r="N819" s="2" t="s">
        <v>1840</v>
      </c>
      <c r="O819" s="3">
        <v>105875255</v>
      </c>
      <c r="P819" t="s">
        <v>27</v>
      </c>
      <c r="Q819">
        <v>1</v>
      </c>
      <c r="R819" t="s">
        <v>1962</v>
      </c>
    </row>
    <row r="820" spans="1:18" x14ac:dyDescent="0.35">
      <c r="A820" t="s">
        <v>849</v>
      </c>
      <c r="B820" t="s">
        <v>17</v>
      </c>
      <c r="C820" t="s">
        <v>14</v>
      </c>
      <c r="D820" t="s">
        <v>1907</v>
      </c>
      <c r="E820" s="3">
        <v>30</v>
      </c>
      <c r="F820" t="s">
        <v>1813</v>
      </c>
      <c r="G820" t="s">
        <v>1822</v>
      </c>
      <c r="H820" t="s">
        <v>23</v>
      </c>
      <c r="I820" s="1" t="s">
        <v>1709</v>
      </c>
      <c r="J820" s="7">
        <v>2</v>
      </c>
      <c r="K820" s="7">
        <v>2022</v>
      </c>
      <c r="L820" s="3">
        <v>70405.23</v>
      </c>
      <c r="M820" s="9" t="s">
        <v>1959</v>
      </c>
      <c r="N820" s="2" t="s">
        <v>1842</v>
      </c>
      <c r="O820" s="3">
        <v>8065625903</v>
      </c>
      <c r="P820" t="s">
        <v>27</v>
      </c>
      <c r="Q820">
        <v>1</v>
      </c>
      <c r="R820" t="s">
        <v>1962</v>
      </c>
    </row>
    <row r="821" spans="1:18" x14ac:dyDescent="0.35">
      <c r="A821" t="s">
        <v>850</v>
      </c>
      <c r="B821" t="s">
        <v>40</v>
      </c>
      <c r="C821" t="s">
        <v>62</v>
      </c>
      <c r="D821" t="s">
        <v>1951</v>
      </c>
      <c r="E821" s="3">
        <v>30</v>
      </c>
      <c r="F821" t="s">
        <v>1817</v>
      </c>
      <c r="G821" t="s">
        <v>1818</v>
      </c>
      <c r="H821" t="s">
        <v>23</v>
      </c>
      <c r="I821" s="1" t="s">
        <v>1710</v>
      </c>
      <c r="J821" s="7">
        <v>4</v>
      </c>
      <c r="K821" s="7">
        <v>2021</v>
      </c>
      <c r="L821" s="3">
        <v>89919.35</v>
      </c>
      <c r="M821" s="9" t="s">
        <v>1960</v>
      </c>
      <c r="N821" s="2" t="s">
        <v>1886</v>
      </c>
      <c r="O821" s="3">
        <v>5990802710</v>
      </c>
      <c r="P821" t="s">
        <v>15</v>
      </c>
      <c r="Q821">
        <v>4</v>
      </c>
      <c r="R821" t="s">
        <v>1962</v>
      </c>
    </row>
    <row r="822" spans="1:18" x14ac:dyDescent="0.35">
      <c r="A822" t="s">
        <v>851</v>
      </c>
      <c r="B822" t="s">
        <v>22</v>
      </c>
      <c r="C822" t="s">
        <v>10</v>
      </c>
      <c r="D822" t="s">
        <v>1895</v>
      </c>
      <c r="E822" s="3">
        <v>40</v>
      </c>
      <c r="F822" t="s">
        <v>1813</v>
      </c>
      <c r="G822" t="s">
        <v>1814</v>
      </c>
      <c r="H822" t="s">
        <v>11</v>
      </c>
      <c r="I822" s="1" t="s">
        <v>1544</v>
      </c>
      <c r="J822" s="7">
        <v>2</v>
      </c>
      <c r="K822" s="7">
        <v>2023</v>
      </c>
      <c r="L822" s="3">
        <v>50568.35</v>
      </c>
      <c r="M822" s="9" t="s">
        <v>1958</v>
      </c>
      <c r="N822" s="2" t="s">
        <v>1830</v>
      </c>
      <c r="O822" s="3">
        <v>2218231554</v>
      </c>
      <c r="P822" t="s">
        <v>20</v>
      </c>
      <c r="Q822">
        <v>3</v>
      </c>
      <c r="R822" t="s">
        <v>1962</v>
      </c>
    </row>
    <row r="823" spans="1:18" x14ac:dyDescent="0.35">
      <c r="A823" t="s">
        <v>852</v>
      </c>
      <c r="B823" t="s">
        <v>42</v>
      </c>
      <c r="C823" t="s">
        <v>14</v>
      </c>
      <c r="D823" t="s">
        <v>1936</v>
      </c>
      <c r="E823" s="3">
        <v>30</v>
      </c>
      <c r="F823" t="s">
        <v>1823</v>
      </c>
      <c r="G823" t="s">
        <v>1816</v>
      </c>
      <c r="H823" t="s">
        <v>23</v>
      </c>
      <c r="I823" s="1" t="s">
        <v>1711</v>
      </c>
      <c r="J823" s="7">
        <v>2</v>
      </c>
      <c r="K823" s="7">
        <v>2023</v>
      </c>
      <c r="L823" s="3">
        <v>0</v>
      </c>
      <c r="M823" s="9" t="s">
        <v>1958</v>
      </c>
      <c r="N823" s="2" t="s">
        <v>1871</v>
      </c>
      <c r="O823" s="3">
        <v>1651768085</v>
      </c>
      <c r="P823" t="s">
        <v>20</v>
      </c>
      <c r="Q823">
        <v>3</v>
      </c>
      <c r="R823" t="s">
        <v>1963</v>
      </c>
    </row>
    <row r="824" spans="1:18" x14ac:dyDescent="0.35">
      <c r="A824" t="s">
        <v>853</v>
      </c>
      <c r="B824" t="s">
        <v>25</v>
      </c>
      <c r="C824" t="s">
        <v>50</v>
      </c>
      <c r="D824" t="s">
        <v>1914</v>
      </c>
      <c r="E824" s="3">
        <v>25</v>
      </c>
      <c r="F824" t="s">
        <v>1823</v>
      </c>
      <c r="G824" t="s">
        <v>1816</v>
      </c>
      <c r="H824" t="s">
        <v>11</v>
      </c>
      <c r="I824" s="1" t="s">
        <v>1712</v>
      </c>
      <c r="J824" s="7">
        <v>3</v>
      </c>
      <c r="K824" s="7">
        <v>2022</v>
      </c>
      <c r="L824" s="3">
        <v>99155.53</v>
      </c>
      <c r="M824" s="9" t="s">
        <v>1960</v>
      </c>
      <c r="N824" s="2" t="s">
        <v>1849</v>
      </c>
      <c r="O824" s="3">
        <v>6281372142</v>
      </c>
      <c r="P824" t="s">
        <v>27</v>
      </c>
      <c r="Q824">
        <v>1</v>
      </c>
      <c r="R824" t="s">
        <v>1962</v>
      </c>
    </row>
    <row r="825" spans="1:18" x14ac:dyDescent="0.35">
      <c r="A825" t="s">
        <v>854</v>
      </c>
      <c r="B825" t="s">
        <v>25</v>
      </c>
      <c r="C825" t="s">
        <v>10</v>
      </c>
      <c r="D825" t="s">
        <v>1900</v>
      </c>
      <c r="E825" s="3">
        <v>40</v>
      </c>
      <c r="F825" t="s">
        <v>1815</v>
      </c>
      <c r="G825" t="s">
        <v>1820</v>
      </c>
      <c r="H825" t="s">
        <v>23</v>
      </c>
      <c r="I825" s="1" t="s">
        <v>1713</v>
      </c>
      <c r="J825" s="7">
        <v>2</v>
      </c>
      <c r="K825" s="7">
        <v>2023</v>
      </c>
      <c r="L825" s="3">
        <v>64785.13</v>
      </c>
      <c r="M825" s="9" t="s">
        <v>1959</v>
      </c>
      <c r="N825" s="2" t="s">
        <v>1835</v>
      </c>
      <c r="O825" s="3">
        <v>3080037002</v>
      </c>
      <c r="P825" t="s">
        <v>12</v>
      </c>
      <c r="Q825">
        <v>2</v>
      </c>
      <c r="R825" t="s">
        <v>1962</v>
      </c>
    </row>
    <row r="826" spans="1:18" x14ac:dyDescent="0.35">
      <c r="A826" t="s">
        <v>855</v>
      </c>
      <c r="B826" t="s">
        <v>34</v>
      </c>
      <c r="C826" t="s">
        <v>29</v>
      </c>
      <c r="D826" t="s">
        <v>1909</v>
      </c>
      <c r="E826" s="3">
        <v>30</v>
      </c>
      <c r="F826" t="s">
        <v>1821</v>
      </c>
      <c r="G826" t="s">
        <v>1820</v>
      </c>
      <c r="H826" t="s">
        <v>23</v>
      </c>
      <c r="I826" s="1" t="s">
        <v>1118</v>
      </c>
      <c r="J826" s="7">
        <v>1</v>
      </c>
      <c r="K826" s="7">
        <v>2024</v>
      </c>
      <c r="L826" s="3">
        <v>79206.48</v>
      </c>
      <c r="M826" s="9" t="s">
        <v>1959</v>
      </c>
      <c r="N826" s="2" t="s">
        <v>1844</v>
      </c>
      <c r="O826" s="3">
        <v>3228556607</v>
      </c>
      <c r="P826" t="s">
        <v>20</v>
      </c>
      <c r="Q826">
        <v>3</v>
      </c>
      <c r="R826" t="s">
        <v>1963</v>
      </c>
    </row>
    <row r="827" spans="1:18" x14ac:dyDescent="0.35">
      <c r="A827" t="s">
        <v>856</v>
      </c>
      <c r="B827" t="s">
        <v>34</v>
      </c>
      <c r="C827" t="s">
        <v>14</v>
      </c>
      <c r="D827" t="s">
        <v>1918</v>
      </c>
      <c r="E827" s="3">
        <v>30</v>
      </c>
      <c r="F827" t="s">
        <v>1819</v>
      </c>
      <c r="G827" t="s">
        <v>1816</v>
      </c>
      <c r="H827" t="s">
        <v>19</v>
      </c>
      <c r="I827" s="1" t="s">
        <v>1714</v>
      </c>
      <c r="J827" s="7">
        <v>5</v>
      </c>
      <c r="K827" s="7">
        <v>2020</v>
      </c>
      <c r="L827" s="3">
        <v>60079.71</v>
      </c>
      <c r="M827" s="9" t="s">
        <v>1959</v>
      </c>
      <c r="N827" s="2" t="s">
        <v>1853</v>
      </c>
      <c r="O827" s="3">
        <v>4706810389</v>
      </c>
      <c r="P827" t="s">
        <v>12</v>
      </c>
      <c r="Q827">
        <v>2</v>
      </c>
      <c r="R827" t="s">
        <v>1962</v>
      </c>
    </row>
    <row r="828" spans="1:18" x14ac:dyDescent="0.35">
      <c r="A828" t="s">
        <v>857</v>
      </c>
      <c r="B828" t="s">
        <v>42</v>
      </c>
      <c r="C828" t="s">
        <v>26</v>
      </c>
      <c r="D828" t="s">
        <v>1905</v>
      </c>
      <c r="E828" s="3">
        <v>30</v>
      </c>
      <c r="F828" t="s">
        <v>1819</v>
      </c>
      <c r="G828" t="s">
        <v>1822</v>
      </c>
      <c r="H828" t="s">
        <v>19</v>
      </c>
      <c r="I828" s="1" t="s">
        <v>1715</v>
      </c>
      <c r="J828" s="7">
        <v>1</v>
      </c>
      <c r="K828" s="7">
        <v>2024</v>
      </c>
      <c r="L828" s="3">
        <v>79109.88</v>
      </c>
      <c r="M828" s="9" t="s">
        <v>1959</v>
      </c>
      <c r="N828" s="2" t="s">
        <v>1840</v>
      </c>
      <c r="O828" s="3">
        <v>3397051957</v>
      </c>
      <c r="P828" t="s">
        <v>27</v>
      </c>
      <c r="Q828">
        <v>1</v>
      </c>
      <c r="R828" t="s">
        <v>1963</v>
      </c>
    </row>
    <row r="829" spans="1:18" x14ac:dyDescent="0.35">
      <c r="A829" t="s">
        <v>858</v>
      </c>
      <c r="B829" t="s">
        <v>42</v>
      </c>
      <c r="C829" t="s">
        <v>35</v>
      </c>
      <c r="D829" t="s">
        <v>1919</v>
      </c>
      <c r="E829" s="3">
        <v>30</v>
      </c>
      <c r="F829" t="s">
        <v>1817</v>
      </c>
      <c r="G829" t="s">
        <v>1820</v>
      </c>
      <c r="H829" t="s">
        <v>19</v>
      </c>
      <c r="I829" s="1" t="s">
        <v>1716</v>
      </c>
      <c r="J829" s="7">
        <v>3</v>
      </c>
      <c r="K829" s="7">
        <v>2022</v>
      </c>
      <c r="L829" s="3">
        <v>88643.5</v>
      </c>
      <c r="M829" s="9" t="s">
        <v>1960</v>
      </c>
      <c r="N829" s="2" t="s">
        <v>1854</v>
      </c>
      <c r="O829" s="3">
        <v>2632809447</v>
      </c>
      <c r="P829" t="s">
        <v>27</v>
      </c>
      <c r="Q829">
        <v>1</v>
      </c>
      <c r="R829" t="s">
        <v>1963</v>
      </c>
    </row>
    <row r="830" spans="1:18" x14ac:dyDescent="0.35">
      <c r="A830" t="s">
        <v>859</v>
      </c>
      <c r="B830" t="s">
        <v>25</v>
      </c>
      <c r="C830" t="s">
        <v>10</v>
      </c>
      <c r="D830" t="s">
        <v>1900</v>
      </c>
      <c r="E830" s="3">
        <v>30</v>
      </c>
      <c r="F830" t="s">
        <v>1817</v>
      </c>
      <c r="G830" t="s">
        <v>1820</v>
      </c>
      <c r="H830" t="s">
        <v>19</v>
      </c>
      <c r="I830" s="1" t="s">
        <v>1717</v>
      </c>
      <c r="J830" s="7">
        <v>5</v>
      </c>
      <c r="K830" s="7">
        <v>2020</v>
      </c>
      <c r="L830" s="3">
        <v>90455.7</v>
      </c>
      <c r="M830" s="9" t="s">
        <v>1960</v>
      </c>
      <c r="N830" s="2" t="s">
        <v>1835</v>
      </c>
      <c r="O830" s="3">
        <v>5862394534</v>
      </c>
      <c r="P830" t="s">
        <v>15</v>
      </c>
      <c r="Q830">
        <v>4</v>
      </c>
      <c r="R830" t="s">
        <v>1963</v>
      </c>
    </row>
    <row r="831" spans="1:18" x14ac:dyDescent="0.35">
      <c r="A831" t="s">
        <v>860</v>
      </c>
      <c r="B831" t="s">
        <v>37</v>
      </c>
      <c r="C831" t="s">
        <v>29</v>
      </c>
      <c r="D831" t="s">
        <v>1912</v>
      </c>
      <c r="E831" s="3">
        <v>30</v>
      </c>
      <c r="F831" t="s">
        <v>1823</v>
      </c>
      <c r="G831" t="s">
        <v>1820</v>
      </c>
      <c r="H831" t="s">
        <v>19</v>
      </c>
      <c r="I831" s="1" t="s">
        <v>1718</v>
      </c>
      <c r="J831" s="7">
        <v>2</v>
      </c>
      <c r="K831" s="7">
        <v>2023</v>
      </c>
      <c r="L831" s="3">
        <v>75687.899999999994</v>
      </c>
      <c r="M831" s="9" t="s">
        <v>1959</v>
      </c>
      <c r="N831" s="2" t="s">
        <v>1847</v>
      </c>
      <c r="O831" s="3">
        <v>4614707985</v>
      </c>
      <c r="P831" t="s">
        <v>20</v>
      </c>
      <c r="Q831">
        <v>3</v>
      </c>
      <c r="R831" t="s">
        <v>1962</v>
      </c>
    </row>
    <row r="832" spans="1:18" x14ac:dyDescent="0.35">
      <c r="A832" t="s">
        <v>861</v>
      </c>
      <c r="B832" t="s">
        <v>40</v>
      </c>
      <c r="C832" t="s">
        <v>18</v>
      </c>
      <c r="D832" t="s">
        <v>1947</v>
      </c>
      <c r="E832" s="3">
        <v>35</v>
      </c>
      <c r="F832" t="s">
        <v>1819</v>
      </c>
      <c r="G832" t="s">
        <v>1824</v>
      </c>
      <c r="H832" t="s">
        <v>23</v>
      </c>
      <c r="I832" s="1" t="s">
        <v>1142</v>
      </c>
      <c r="J832" s="7">
        <v>2</v>
      </c>
      <c r="K832" s="7">
        <v>2023</v>
      </c>
      <c r="L832" s="3">
        <v>55604.42</v>
      </c>
      <c r="M832" s="9" t="s">
        <v>1958</v>
      </c>
      <c r="N832" s="2" t="s">
        <v>1882</v>
      </c>
      <c r="O832" s="3">
        <v>3210613393</v>
      </c>
      <c r="P832" t="s">
        <v>12</v>
      </c>
      <c r="Q832">
        <v>2</v>
      </c>
      <c r="R832" t="s">
        <v>1963</v>
      </c>
    </row>
    <row r="833" spans="1:18" x14ac:dyDescent="0.35">
      <c r="A833" t="s">
        <v>862</v>
      </c>
      <c r="B833" t="s">
        <v>22</v>
      </c>
      <c r="C833" t="s">
        <v>18</v>
      </c>
      <c r="D833" t="s">
        <v>1945</v>
      </c>
      <c r="E833" s="3">
        <v>40</v>
      </c>
      <c r="F833" t="s">
        <v>1821</v>
      </c>
      <c r="G833" t="s">
        <v>1816</v>
      </c>
      <c r="H833" t="s">
        <v>19</v>
      </c>
      <c r="I833" s="1" t="s">
        <v>1642</v>
      </c>
      <c r="J833" s="7">
        <v>0</v>
      </c>
      <c r="K833" s="7">
        <v>2024</v>
      </c>
      <c r="L833" s="3">
        <v>92704.94</v>
      </c>
      <c r="M833" s="9" t="s">
        <v>1960</v>
      </c>
      <c r="N833" s="2" t="s">
        <v>1880</v>
      </c>
      <c r="O833" s="3">
        <v>3945703942</v>
      </c>
      <c r="P833" t="s">
        <v>15</v>
      </c>
      <c r="Q833">
        <v>4</v>
      </c>
      <c r="R833" t="s">
        <v>1963</v>
      </c>
    </row>
    <row r="834" spans="1:18" x14ac:dyDescent="0.35">
      <c r="A834" t="s">
        <v>863</v>
      </c>
      <c r="B834" t="s">
        <v>9</v>
      </c>
      <c r="C834" t="s">
        <v>26</v>
      </c>
      <c r="D834" t="s">
        <v>1924</v>
      </c>
      <c r="E834" s="3">
        <v>30</v>
      </c>
      <c r="F834" t="s">
        <v>1821</v>
      </c>
      <c r="G834" t="s">
        <v>1814</v>
      </c>
      <c r="H834" t="s">
        <v>19</v>
      </c>
      <c r="I834" s="1" t="s">
        <v>1661</v>
      </c>
      <c r="J834" s="7">
        <v>5</v>
      </c>
      <c r="K834" s="7">
        <v>2020</v>
      </c>
      <c r="L834" s="3">
        <v>113250.97</v>
      </c>
      <c r="M834" s="9" t="s">
        <v>1960</v>
      </c>
      <c r="N834" s="2" t="s">
        <v>1859</v>
      </c>
      <c r="O834" s="3">
        <v>8040325375</v>
      </c>
      <c r="P834" t="s">
        <v>20</v>
      </c>
      <c r="Q834">
        <v>3</v>
      </c>
      <c r="R834" t="s">
        <v>1962</v>
      </c>
    </row>
    <row r="835" spans="1:18" x14ac:dyDescent="0.35">
      <c r="A835" t="s">
        <v>864</v>
      </c>
      <c r="B835" t="s">
        <v>17</v>
      </c>
      <c r="C835" t="s">
        <v>14</v>
      </c>
      <c r="D835" t="s">
        <v>1907</v>
      </c>
      <c r="E835" s="3">
        <v>40</v>
      </c>
      <c r="F835" t="s">
        <v>1815</v>
      </c>
      <c r="G835" t="s">
        <v>1824</v>
      </c>
      <c r="H835" t="s">
        <v>23</v>
      </c>
      <c r="I835" s="1" t="s">
        <v>1719</v>
      </c>
      <c r="J835" s="7">
        <v>2</v>
      </c>
      <c r="K835" s="7">
        <v>2023</v>
      </c>
      <c r="L835" s="3">
        <v>101367.02</v>
      </c>
      <c r="M835" s="9" t="s">
        <v>1960</v>
      </c>
      <c r="N835" s="2" t="s">
        <v>1842</v>
      </c>
      <c r="O835" s="3">
        <v>5769277893</v>
      </c>
      <c r="P835" t="s">
        <v>15</v>
      </c>
      <c r="Q835">
        <v>4</v>
      </c>
      <c r="R835" t="s">
        <v>1963</v>
      </c>
    </row>
    <row r="836" spans="1:18" x14ac:dyDescent="0.35">
      <c r="A836" t="s">
        <v>865</v>
      </c>
      <c r="B836" t="s">
        <v>22</v>
      </c>
      <c r="C836" t="s">
        <v>62</v>
      </c>
      <c r="D836" t="s">
        <v>1955</v>
      </c>
      <c r="E836" s="3">
        <v>35</v>
      </c>
      <c r="F836" t="s">
        <v>1817</v>
      </c>
      <c r="G836" t="s">
        <v>1816</v>
      </c>
      <c r="H836" t="s">
        <v>19</v>
      </c>
      <c r="I836" s="1" t="s">
        <v>1720</v>
      </c>
      <c r="J836" s="7">
        <v>2</v>
      </c>
      <c r="K836" s="7">
        <v>2023</v>
      </c>
      <c r="L836" s="3">
        <v>102459.77</v>
      </c>
      <c r="M836" s="9" t="s">
        <v>1960</v>
      </c>
      <c r="N836" s="2" t="s">
        <v>1890</v>
      </c>
      <c r="O836" s="3">
        <v>3191009003</v>
      </c>
      <c r="P836" t="s">
        <v>27</v>
      </c>
      <c r="Q836">
        <v>1</v>
      </c>
      <c r="R836" t="s">
        <v>1963</v>
      </c>
    </row>
    <row r="837" spans="1:18" x14ac:dyDescent="0.35">
      <c r="A837" t="s">
        <v>866</v>
      </c>
      <c r="B837" t="s">
        <v>22</v>
      </c>
      <c r="C837" t="s">
        <v>14</v>
      </c>
      <c r="D837" t="s">
        <v>1927</v>
      </c>
      <c r="E837" s="3">
        <v>25</v>
      </c>
      <c r="F837" t="s">
        <v>1813</v>
      </c>
      <c r="G837" t="s">
        <v>1820</v>
      </c>
      <c r="H837" t="s">
        <v>19</v>
      </c>
      <c r="I837" s="1" t="s">
        <v>1721</v>
      </c>
      <c r="J837" s="7">
        <v>4</v>
      </c>
      <c r="K837" s="7">
        <v>2020</v>
      </c>
      <c r="L837" s="3">
        <v>90100.2</v>
      </c>
      <c r="M837" s="9" t="s">
        <v>1960</v>
      </c>
      <c r="N837" s="2" t="s">
        <v>1862</v>
      </c>
      <c r="O837" s="3">
        <v>476921052</v>
      </c>
      <c r="P837" t="s">
        <v>20</v>
      </c>
      <c r="Q837">
        <v>3</v>
      </c>
      <c r="R837" t="s">
        <v>1963</v>
      </c>
    </row>
    <row r="838" spans="1:18" x14ac:dyDescent="0.35">
      <c r="A838" t="s">
        <v>867</v>
      </c>
      <c r="B838" t="s">
        <v>22</v>
      </c>
      <c r="C838" t="s">
        <v>26</v>
      </c>
      <c r="D838" t="s">
        <v>1923</v>
      </c>
      <c r="E838" s="3">
        <v>30</v>
      </c>
      <c r="F838" t="s">
        <v>1819</v>
      </c>
      <c r="G838" t="s">
        <v>1814</v>
      </c>
      <c r="H838" t="s">
        <v>23</v>
      </c>
      <c r="I838" s="1" t="s">
        <v>1722</v>
      </c>
      <c r="J838" s="7">
        <v>5</v>
      </c>
      <c r="K838" s="7">
        <v>2020</v>
      </c>
      <c r="L838" s="3">
        <v>58877.49</v>
      </c>
      <c r="M838" s="9" t="s">
        <v>1958</v>
      </c>
      <c r="N838" s="2" t="s">
        <v>1858</v>
      </c>
      <c r="O838" s="3">
        <v>3651460400</v>
      </c>
      <c r="P838" t="s">
        <v>15</v>
      </c>
      <c r="Q838">
        <v>4</v>
      </c>
      <c r="R838" t="s">
        <v>1963</v>
      </c>
    </row>
    <row r="839" spans="1:18" x14ac:dyDescent="0.35">
      <c r="A839" t="s">
        <v>868</v>
      </c>
      <c r="B839" t="s">
        <v>22</v>
      </c>
      <c r="C839" t="s">
        <v>18</v>
      </c>
      <c r="D839" t="s">
        <v>1945</v>
      </c>
      <c r="E839" s="3">
        <v>35</v>
      </c>
      <c r="F839" t="s">
        <v>1817</v>
      </c>
      <c r="G839" t="s">
        <v>1824</v>
      </c>
      <c r="H839" t="s">
        <v>23</v>
      </c>
      <c r="I839" s="1" t="s">
        <v>1723</v>
      </c>
      <c r="J839" s="7">
        <v>4</v>
      </c>
      <c r="K839" s="7">
        <v>2021</v>
      </c>
      <c r="L839" s="3">
        <v>0</v>
      </c>
      <c r="M839" s="9" t="s">
        <v>1958</v>
      </c>
      <c r="N839" s="2" t="s">
        <v>1880</v>
      </c>
      <c r="O839" s="3">
        <v>4247310719</v>
      </c>
      <c r="P839" t="s">
        <v>15</v>
      </c>
      <c r="Q839">
        <v>4</v>
      </c>
      <c r="R839" t="s">
        <v>1963</v>
      </c>
    </row>
    <row r="840" spans="1:18" x14ac:dyDescent="0.35">
      <c r="A840" t="s">
        <v>869</v>
      </c>
      <c r="B840" t="s">
        <v>9</v>
      </c>
      <c r="C840" t="s">
        <v>14</v>
      </c>
      <c r="D840" t="s">
        <v>1893</v>
      </c>
      <c r="E840" s="3">
        <v>30</v>
      </c>
      <c r="F840" t="s">
        <v>1817</v>
      </c>
      <c r="G840" t="s">
        <v>1824</v>
      </c>
      <c r="H840" t="s">
        <v>19</v>
      </c>
      <c r="I840" s="1" t="s">
        <v>1724</v>
      </c>
      <c r="J840" s="7">
        <v>5</v>
      </c>
      <c r="K840" s="7">
        <v>2020</v>
      </c>
      <c r="L840" s="3">
        <v>96140.89</v>
      </c>
      <c r="M840" s="9" t="s">
        <v>1960</v>
      </c>
      <c r="N840" s="2" t="s">
        <v>1828</v>
      </c>
      <c r="O840" s="3">
        <v>1137984408</v>
      </c>
      <c r="P840" t="s">
        <v>12</v>
      </c>
      <c r="Q840">
        <v>2</v>
      </c>
      <c r="R840" t="s">
        <v>1962</v>
      </c>
    </row>
    <row r="841" spans="1:18" x14ac:dyDescent="0.35">
      <c r="A841" t="s">
        <v>870</v>
      </c>
      <c r="B841" t="s">
        <v>34</v>
      </c>
      <c r="C841" t="s">
        <v>18</v>
      </c>
      <c r="D841" t="s">
        <v>1916</v>
      </c>
      <c r="E841" s="3">
        <v>35</v>
      </c>
      <c r="F841" t="s">
        <v>1813</v>
      </c>
      <c r="G841" t="s">
        <v>1822</v>
      </c>
      <c r="H841" t="s">
        <v>23</v>
      </c>
      <c r="I841" s="1" t="s">
        <v>1725</v>
      </c>
      <c r="J841" s="7">
        <v>4</v>
      </c>
      <c r="K841" s="7">
        <v>2021</v>
      </c>
      <c r="L841" s="3">
        <v>105956.04</v>
      </c>
      <c r="M841" s="9" t="s">
        <v>1960</v>
      </c>
      <c r="N841" s="2" t="s">
        <v>1851</v>
      </c>
      <c r="O841" s="3">
        <v>7123166006</v>
      </c>
      <c r="P841" t="s">
        <v>15</v>
      </c>
      <c r="Q841">
        <v>4</v>
      </c>
      <c r="R841" t="s">
        <v>1963</v>
      </c>
    </row>
    <row r="842" spans="1:18" x14ac:dyDescent="0.35">
      <c r="A842" t="s">
        <v>871</v>
      </c>
      <c r="B842" t="s">
        <v>25</v>
      </c>
      <c r="C842" t="s">
        <v>10</v>
      </c>
      <c r="D842" t="s">
        <v>1900</v>
      </c>
      <c r="E842" s="3">
        <v>25</v>
      </c>
      <c r="F842" t="s">
        <v>1817</v>
      </c>
      <c r="G842" t="s">
        <v>1824</v>
      </c>
      <c r="H842" t="s">
        <v>11</v>
      </c>
      <c r="I842" s="1" t="s">
        <v>1726</v>
      </c>
      <c r="J842" s="7">
        <v>1</v>
      </c>
      <c r="K842" s="7">
        <v>2024</v>
      </c>
      <c r="L842" s="3">
        <v>84716.38</v>
      </c>
      <c r="M842" s="9" t="s">
        <v>1959</v>
      </c>
      <c r="N842" s="2" t="s">
        <v>1835</v>
      </c>
      <c r="O842" s="3">
        <v>6762090143</v>
      </c>
      <c r="P842" t="s">
        <v>20</v>
      </c>
      <c r="Q842">
        <v>3</v>
      </c>
      <c r="R842" t="s">
        <v>1963</v>
      </c>
    </row>
    <row r="843" spans="1:18" x14ac:dyDescent="0.35">
      <c r="A843" t="s">
        <v>872</v>
      </c>
      <c r="B843" t="s">
        <v>42</v>
      </c>
      <c r="C843" t="s">
        <v>29</v>
      </c>
      <c r="D843" t="s">
        <v>1908</v>
      </c>
      <c r="E843" s="3">
        <v>30</v>
      </c>
      <c r="F843" t="s">
        <v>1813</v>
      </c>
      <c r="G843" t="s">
        <v>1820</v>
      </c>
      <c r="H843" t="s">
        <v>19</v>
      </c>
      <c r="I843" s="1" t="s">
        <v>1439</v>
      </c>
      <c r="J843" s="7">
        <v>2</v>
      </c>
      <c r="K843" s="7">
        <v>2023</v>
      </c>
      <c r="L843" s="3">
        <v>61709.83</v>
      </c>
      <c r="M843" s="9" t="s">
        <v>1959</v>
      </c>
      <c r="N843" s="2" t="s">
        <v>1843</v>
      </c>
      <c r="O843" s="3">
        <v>7340433699</v>
      </c>
      <c r="P843" t="s">
        <v>20</v>
      </c>
      <c r="Q843">
        <v>3</v>
      </c>
      <c r="R843" t="s">
        <v>1962</v>
      </c>
    </row>
    <row r="844" spans="1:18" x14ac:dyDescent="0.35">
      <c r="A844" t="s">
        <v>873</v>
      </c>
      <c r="B844" t="s">
        <v>25</v>
      </c>
      <c r="C844" t="s">
        <v>62</v>
      </c>
      <c r="D844" t="s">
        <v>1922</v>
      </c>
      <c r="E844" s="3">
        <v>25</v>
      </c>
      <c r="F844" t="s">
        <v>1813</v>
      </c>
      <c r="G844" t="s">
        <v>1814</v>
      </c>
      <c r="H844" t="s">
        <v>11</v>
      </c>
      <c r="I844" s="1" t="s">
        <v>1727</v>
      </c>
      <c r="J844" s="7">
        <v>5</v>
      </c>
      <c r="K844" s="7">
        <v>2020</v>
      </c>
      <c r="L844" s="3">
        <v>61732.03</v>
      </c>
      <c r="M844" s="9" t="s">
        <v>1959</v>
      </c>
      <c r="N844" s="2" t="s">
        <v>1857</v>
      </c>
      <c r="O844" s="3">
        <v>9687304518</v>
      </c>
      <c r="P844" t="s">
        <v>12</v>
      </c>
      <c r="Q844">
        <v>2</v>
      </c>
      <c r="R844" t="s">
        <v>1962</v>
      </c>
    </row>
    <row r="845" spans="1:18" x14ac:dyDescent="0.35">
      <c r="A845" t="s">
        <v>874</v>
      </c>
      <c r="B845" t="s">
        <v>22</v>
      </c>
      <c r="C845" t="s">
        <v>10</v>
      </c>
      <c r="D845" t="s">
        <v>1895</v>
      </c>
      <c r="E845" s="3">
        <v>40</v>
      </c>
      <c r="F845" t="s">
        <v>1813</v>
      </c>
      <c r="G845" t="s">
        <v>1824</v>
      </c>
      <c r="H845" t="s">
        <v>11</v>
      </c>
      <c r="I845" s="1" t="s">
        <v>1728</v>
      </c>
      <c r="J845" s="7">
        <v>3</v>
      </c>
      <c r="K845" s="7">
        <v>2022</v>
      </c>
      <c r="L845" s="3">
        <v>97845.7</v>
      </c>
      <c r="M845" s="9" t="s">
        <v>1960</v>
      </c>
      <c r="N845" s="2" t="s">
        <v>1830</v>
      </c>
      <c r="O845" s="3">
        <v>5778255881</v>
      </c>
      <c r="P845" t="s">
        <v>20</v>
      </c>
      <c r="Q845">
        <v>3</v>
      </c>
      <c r="R845" t="s">
        <v>1962</v>
      </c>
    </row>
    <row r="846" spans="1:18" x14ac:dyDescent="0.35">
      <c r="A846" t="s">
        <v>875</v>
      </c>
      <c r="B846" t="s">
        <v>22</v>
      </c>
      <c r="C846" t="s">
        <v>18</v>
      </c>
      <c r="D846" t="s">
        <v>1945</v>
      </c>
      <c r="E846" s="3">
        <v>30</v>
      </c>
      <c r="F846" t="s">
        <v>1821</v>
      </c>
      <c r="G846" t="s">
        <v>1820</v>
      </c>
      <c r="H846" t="s">
        <v>11</v>
      </c>
      <c r="I846" s="1" t="s">
        <v>1729</v>
      </c>
      <c r="J846" s="7">
        <v>4</v>
      </c>
      <c r="K846" s="7">
        <v>2021</v>
      </c>
      <c r="L846" s="3">
        <v>114905.58</v>
      </c>
      <c r="M846" s="9" t="s">
        <v>1960</v>
      </c>
      <c r="N846" s="2" t="s">
        <v>1880</v>
      </c>
      <c r="O846" s="3">
        <v>5562965753</v>
      </c>
      <c r="P846" t="s">
        <v>27</v>
      </c>
      <c r="Q846">
        <v>1</v>
      </c>
      <c r="R846" t="s">
        <v>1963</v>
      </c>
    </row>
    <row r="847" spans="1:18" x14ac:dyDescent="0.35">
      <c r="A847" t="s">
        <v>876</v>
      </c>
      <c r="B847" t="s">
        <v>25</v>
      </c>
      <c r="C847" t="s">
        <v>18</v>
      </c>
      <c r="D847" t="s">
        <v>1898</v>
      </c>
      <c r="E847" s="3">
        <v>30</v>
      </c>
      <c r="F847" t="s">
        <v>1813</v>
      </c>
      <c r="G847" t="s">
        <v>1816</v>
      </c>
      <c r="H847" t="s">
        <v>11</v>
      </c>
      <c r="I847" s="1" t="s">
        <v>1709</v>
      </c>
      <c r="J847" s="7">
        <v>2</v>
      </c>
      <c r="K847" s="7">
        <v>2022</v>
      </c>
      <c r="L847" s="3">
        <v>94619.69</v>
      </c>
      <c r="M847" s="9" t="s">
        <v>1960</v>
      </c>
      <c r="N847" s="2" t="s">
        <v>1833</v>
      </c>
      <c r="O847" s="3">
        <v>2786561941</v>
      </c>
      <c r="P847" t="s">
        <v>20</v>
      </c>
      <c r="Q847">
        <v>3</v>
      </c>
      <c r="R847" t="s">
        <v>1962</v>
      </c>
    </row>
    <row r="848" spans="1:18" x14ac:dyDescent="0.35">
      <c r="A848" t="s">
        <v>877</v>
      </c>
      <c r="B848" t="s">
        <v>42</v>
      </c>
      <c r="C848" t="s">
        <v>35</v>
      </c>
      <c r="D848" t="s">
        <v>1919</v>
      </c>
      <c r="E848" s="3">
        <v>30</v>
      </c>
      <c r="F848" t="s">
        <v>1813</v>
      </c>
      <c r="G848" t="s">
        <v>1814</v>
      </c>
      <c r="H848" t="s">
        <v>23</v>
      </c>
      <c r="I848" s="1" t="s">
        <v>1730</v>
      </c>
      <c r="J848" s="7">
        <v>4</v>
      </c>
      <c r="K848" s="7">
        <v>2021</v>
      </c>
      <c r="L848" s="3">
        <v>68696.149999999994</v>
      </c>
      <c r="M848" s="9" t="s">
        <v>1959</v>
      </c>
      <c r="N848" s="2" t="s">
        <v>1854</v>
      </c>
      <c r="O848" s="3">
        <v>5577820581</v>
      </c>
      <c r="P848" t="s">
        <v>20</v>
      </c>
      <c r="Q848">
        <v>3</v>
      </c>
      <c r="R848" t="s">
        <v>1963</v>
      </c>
    </row>
    <row r="849" spans="1:18" x14ac:dyDescent="0.35">
      <c r="A849" t="s">
        <v>878</v>
      </c>
      <c r="B849" t="s">
        <v>42</v>
      </c>
      <c r="C849" t="s">
        <v>35</v>
      </c>
      <c r="D849" t="s">
        <v>1919</v>
      </c>
      <c r="E849" s="3">
        <v>40</v>
      </c>
      <c r="F849" t="s">
        <v>1813</v>
      </c>
      <c r="G849" t="s">
        <v>1818</v>
      </c>
      <c r="H849" t="s">
        <v>11</v>
      </c>
      <c r="I849" s="1" t="s">
        <v>1731</v>
      </c>
      <c r="J849" s="7">
        <v>0</v>
      </c>
      <c r="K849" s="7">
        <v>2024</v>
      </c>
      <c r="L849" s="3">
        <v>97032.29</v>
      </c>
      <c r="M849" s="9" t="s">
        <v>1960</v>
      </c>
      <c r="N849" s="2" t="s">
        <v>1854</v>
      </c>
      <c r="O849" s="3">
        <v>9582923615</v>
      </c>
      <c r="P849" t="s">
        <v>15</v>
      </c>
      <c r="Q849">
        <v>4</v>
      </c>
      <c r="R849" t="s">
        <v>1963</v>
      </c>
    </row>
    <row r="850" spans="1:18" x14ac:dyDescent="0.35">
      <c r="A850" t="s">
        <v>879</v>
      </c>
      <c r="B850" t="s">
        <v>25</v>
      </c>
      <c r="C850" t="s">
        <v>10</v>
      </c>
      <c r="D850" t="s">
        <v>1900</v>
      </c>
      <c r="E850" s="3">
        <v>30</v>
      </c>
      <c r="F850" t="s">
        <v>1823</v>
      </c>
      <c r="G850" t="s">
        <v>1824</v>
      </c>
      <c r="H850" t="s">
        <v>11</v>
      </c>
      <c r="I850" s="1" t="s">
        <v>1297</v>
      </c>
      <c r="J850" s="7">
        <v>2</v>
      </c>
      <c r="K850" s="7">
        <v>2023</v>
      </c>
      <c r="L850" s="3">
        <v>50593.33</v>
      </c>
      <c r="M850" s="9" t="s">
        <v>1958</v>
      </c>
      <c r="N850" s="2" t="s">
        <v>1835</v>
      </c>
      <c r="O850" s="3">
        <v>1880819047</v>
      </c>
      <c r="P850" t="s">
        <v>15</v>
      </c>
      <c r="Q850">
        <v>4</v>
      </c>
      <c r="R850" t="s">
        <v>1962</v>
      </c>
    </row>
    <row r="851" spans="1:18" x14ac:dyDescent="0.35">
      <c r="A851" t="s">
        <v>880</v>
      </c>
      <c r="B851" t="s">
        <v>42</v>
      </c>
      <c r="C851" t="s">
        <v>50</v>
      </c>
      <c r="D851" t="s">
        <v>1930</v>
      </c>
      <c r="E851" s="3">
        <v>25</v>
      </c>
      <c r="F851" t="s">
        <v>1821</v>
      </c>
      <c r="G851" t="s">
        <v>1816</v>
      </c>
      <c r="H851" t="s">
        <v>19</v>
      </c>
      <c r="I851" s="1" t="s">
        <v>1491</v>
      </c>
      <c r="J851" s="7">
        <v>3</v>
      </c>
      <c r="K851" s="7">
        <v>2022</v>
      </c>
      <c r="L851" s="3">
        <v>74606.149999999994</v>
      </c>
      <c r="M851" s="9" t="s">
        <v>1959</v>
      </c>
      <c r="N851" s="2" t="s">
        <v>1865</v>
      </c>
      <c r="O851" s="3">
        <v>2357155867</v>
      </c>
      <c r="P851" t="s">
        <v>20</v>
      </c>
      <c r="Q851">
        <v>3</v>
      </c>
      <c r="R851" t="s">
        <v>1962</v>
      </c>
    </row>
    <row r="852" spans="1:18" x14ac:dyDescent="0.35">
      <c r="A852" t="s">
        <v>881</v>
      </c>
      <c r="B852" t="s">
        <v>22</v>
      </c>
      <c r="C852" t="s">
        <v>10</v>
      </c>
      <c r="D852" t="s">
        <v>1895</v>
      </c>
      <c r="E852" s="3">
        <v>30</v>
      </c>
      <c r="F852" t="s">
        <v>1819</v>
      </c>
      <c r="G852" t="s">
        <v>1816</v>
      </c>
      <c r="H852" t="s">
        <v>19</v>
      </c>
      <c r="I852" s="1" t="s">
        <v>1732</v>
      </c>
      <c r="J852" s="7">
        <v>5</v>
      </c>
      <c r="K852" s="7">
        <v>2020</v>
      </c>
      <c r="L852" s="3">
        <v>53981.73</v>
      </c>
      <c r="M852" s="9" t="s">
        <v>1958</v>
      </c>
      <c r="N852" s="2" t="s">
        <v>1830</v>
      </c>
      <c r="O852" s="3">
        <v>6395613722</v>
      </c>
      <c r="P852" t="s">
        <v>12</v>
      </c>
      <c r="Q852">
        <v>2</v>
      </c>
      <c r="R852" t="s">
        <v>1963</v>
      </c>
    </row>
    <row r="853" spans="1:18" x14ac:dyDescent="0.35">
      <c r="A853" t="s">
        <v>882</v>
      </c>
      <c r="B853" t="s">
        <v>37</v>
      </c>
      <c r="C853" t="s">
        <v>35</v>
      </c>
      <c r="D853" t="s">
        <v>1937</v>
      </c>
      <c r="E853" s="3">
        <v>30</v>
      </c>
      <c r="F853" t="s">
        <v>1813</v>
      </c>
      <c r="G853" t="s">
        <v>1816</v>
      </c>
      <c r="H853" t="s">
        <v>19</v>
      </c>
      <c r="I853" s="1" t="s">
        <v>1733</v>
      </c>
      <c r="J853" s="7">
        <v>5</v>
      </c>
      <c r="K853" s="7">
        <v>2020</v>
      </c>
      <c r="L853" s="3">
        <v>56047.05</v>
      </c>
      <c r="M853" s="9" t="s">
        <v>1958</v>
      </c>
      <c r="N853" s="2" t="s">
        <v>1872</v>
      </c>
      <c r="O853" s="3">
        <v>817214363</v>
      </c>
      <c r="P853" t="s">
        <v>15</v>
      </c>
      <c r="Q853">
        <v>4</v>
      </c>
      <c r="R853" t="s">
        <v>1962</v>
      </c>
    </row>
    <row r="854" spans="1:18" x14ac:dyDescent="0.35">
      <c r="A854" t="s">
        <v>883</v>
      </c>
      <c r="B854" t="s">
        <v>42</v>
      </c>
      <c r="C854" t="s">
        <v>18</v>
      </c>
      <c r="D854" t="s">
        <v>1906</v>
      </c>
      <c r="E854" s="3">
        <v>30</v>
      </c>
      <c r="F854" t="s">
        <v>1817</v>
      </c>
      <c r="G854" t="s">
        <v>1816</v>
      </c>
      <c r="H854" t="s">
        <v>19</v>
      </c>
      <c r="I854" s="1" t="s">
        <v>1734</v>
      </c>
      <c r="J854" s="7">
        <v>3</v>
      </c>
      <c r="K854" s="7">
        <v>2021</v>
      </c>
      <c r="L854" s="3">
        <v>67733.5</v>
      </c>
      <c r="M854" s="9" t="s">
        <v>1959</v>
      </c>
      <c r="N854" s="2" t="s">
        <v>1841</v>
      </c>
      <c r="O854" s="3">
        <v>3813000412</v>
      </c>
      <c r="P854" t="s">
        <v>12</v>
      </c>
      <c r="Q854">
        <v>2</v>
      </c>
      <c r="R854" t="s">
        <v>1963</v>
      </c>
    </row>
    <row r="855" spans="1:18" x14ac:dyDescent="0.35">
      <c r="A855" t="s">
        <v>884</v>
      </c>
      <c r="B855" t="s">
        <v>9</v>
      </c>
      <c r="C855" t="s">
        <v>26</v>
      </c>
      <c r="D855" t="s">
        <v>1924</v>
      </c>
      <c r="E855" s="3">
        <v>40</v>
      </c>
      <c r="F855" t="s">
        <v>1823</v>
      </c>
      <c r="G855" t="s">
        <v>1820</v>
      </c>
      <c r="H855" t="s">
        <v>19</v>
      </c>
      <c r="I855" s="1" t="s">
        <v>1327</v>
      </c>
      <c r="J855" s="7">
        <v>2</v>
      </c>
      <c r="K855" s="7">
        <v>2023</v>
      </c>
      <c r="L855" s="3">
        <v>103891.64</v>
      </c>
      <c r="M855" s="9" t="s">
        <v>1960</v>
      </c>
      <c r="N855" s="2" t="s">
        <v>1859</v>
      </c>
      <c r="O855" s="3">
        <v>2114716559</v>
      </c>
      <c r="P855" t="s">
        <v>20</v>
      </c>
      <c r="Q855">
        <v>3</v>
      </c>
      <c r="R855" t="s">
        <v>1962</v>
      </c>
    </row>
    <row r="856" spans="1:18" x14ac:dyDescent="0.35">
      <c r="A856" t="s">
        <v>885</v>
      </c>
      <c r="B856" t="s">
        <v>34</v>
      </c>
      <c r="C856" t="s">
        <v>10</v>
      </c>
      <c r="D856" t="s">
        <v>1931</v>
      </c>
      <c r="E856" s="3">
        <v>25</v>
      </c>
      <c r="F856" t="s">
        <v>1823</v>
      </c>
      <c r="G856" t="s">
        <v>1816</v>
      </c>
      <c r="H856" t="s">
        <v>23</v>
      </c>
      <c r="I856" s="1" t="s">
        <v>1500</v>
      </c>
      <c r="J856" s="7">
        <v>3</v>
      </c>
      <c r="K856" s="7">
        <v>2022</v>
      </c>
      <c r="L856" s="3">
        <v>73285.83</v>
      </c>
      <c r="M856" s="9" t="s">
        <v>1959</v>
      </c>
      <c r="N856" s="2" t="s">
        <v>1866</v>
      </c>
      <c r="O856" s="3">
        <v>9456534698</v>
      </c>
      <c r="P856" t="s">
        <v>20</v>
      </c>
      <c r="Q856">
        <v>3</v>
      </c>
      <c r="R856" t="s">
        <v>1962</v>
      </c>
    </row>
    <row r="857" spans="1:18" x14ac:dyDescent="0.35">
      <c r="A857" t="s">
        <v>886</v>
      </c>
      <c r="B857" t="s">
        <v>22</v>
      </c>
      <c r="C857" t="s">
        <v>18</v>
      </c>
      <c r="D857" t="s">
        <v>1945</v>
      </c>
      <c r="E857" s="3">
        <v>30</v>
      </c>
      <c r="F857" t="s">
        <v>1815</v>
      </c>
      <c r="G857" t="s">
        <v>1816</v>
      </c>
      <c r="H857" t="s">
        <v>23</v>
      </c>
      <c r="I857" s="1" t="s">
        <v>1735</v>
      </c>
      <c r="J857" s="7">
        <v>4</v>
      </c>
      <c r="K857" s="7">
        <v>2021</v>
      </c>
      <c r="L857" s="3">
        <v>92721.13</v>
      </c>
      <c r="M857" s="9" t="s">
        <v>1960</v>
      </c>
      <c r="N857" s="2" t="s">
        <v>1880</v>
      </c>
      <c r="O857" s="3">
        <v>7990707549</v>
      </c>
      <c r="P857" t="s">
        <v>27</v>
      </c>
      <c r="Q857">
        <v>1</v>
      </c>
      <c r="R857" t="s">
        <v>1962</v>
      </c>
    </row>
    <row r="858" spans="1:18" x14ac:dyDescent="0.35">
      <c r="A858" t="s">
        <v>887</v>
      </c>
      <c r="B858" t="s">
        <v>40</v>
      </c>
      <c r="C858" t="s">
        <v>26</v>
      </c>
      <c r="D858" t="s">
        <v>1904</v>
      </c>
      <c r="E858" s="3">
        <v>25</v>
      </c>
      <c r="F858" t="s">
        <v>1817</v>
      </c>
      <c r="G858" t="s">
        <v>1824</v>
      </c>
      <c r="H858" t="s">
        <v>23</v>
      </c>
      <c r="I858" s="1" t="s">
        <v>1360</v>
      </c>
      <c r="J858" s="7">
        <v>4</v>
      </c>
      <c r="K858" s="7">
        <v>2021</v>
      </c>
      <c r="L858" s="3">
        <v>92977.64</v>
      </c>
      <c r="M858" s="9" t="s">
        <v>1960</v>
      </c>
      <c r="N858" s="2" t="s">
        <v>1839</v>
      </c>
      <c r="O858" s="3">
        <v>4768169956</v>
      </c>
      <c r="P858" t="s">
        <v>15</v>
      </c>
      <c r="Q858">
        <v>4</v>
      </c>
      <c r="R858" t="s">
        <v>1963</v>
      </c>
    </row>
    <row r="859" spans="1:18" x14ac:dyDescent="0.35">
      <c r="A859" t="s">
        <v>888</v>
      </c>
      <c r="B859" t="s">
        <v>40</v>
      </c>
      <c r="C859" t="s">
        <v>26</v>
      </c>
      <c r="D859" t="s">
        <v>1904</v>
      </c>
      <c r="E859" s="3">
        <v>35</v>
      </c>
      <c r="F859" t="s">
        <v>1819</v>
      </c>
      <c r="G859" t="s">
        <v>1816</v>
      </c>
      <c r="H859" t="s">
        <v>11</v>
      </c>
      <c r="I859" s="1" t="s">
        <v>1736</v>
      </c>
      <c r="J859" s="7">
        <v>5</v>
      </c>
      <c r="K859" s="7">
        <v>2020</v>
      </c>
      <c r="L859" s="3">
        <v>89994.12</v>
      </c>
      <c r="M859" s="9" t="s">
        <v>1960</v>
      </c>
      <c r="N859" s="2" t="s">
        <v>1839</v>
      </c>
      <c r="O859" s="3">
        <v>607174810</v>
      </c>
      <c r="P859" t="s">
        <v>20</v>
      </c>
      <c r="Q859">
        <v>3</v>
      </c>
      <c r="R859" t="s">
        <v>1962</v>
      </c>
    </row>
    <row r="860" spans="1:18" x14ac:dyDescent="0.35">
      <c r="A860" t="s">
        <v>889</v>
      </c>
      <c r="B860" t="s">
        <v>40</v>
      </c>
      <c r="C860" t="s">
        <v>35</v>
      </c>
      <c r="D860" t="s">
        <v>1915</v>
      </c>
      <c r="E860" s="3">
        <v>25</v>
      </c>
      <c r="F860" t="s">
        <v>1815</v>
      </c>
      <c r="G860" t="s">
        <v>1822</v>
      </c>
      <c r="H860" t="s">
        <v>19</v>
      </c>
      <c r="I860" s="1" t="s">
        <v>1395</v>
      </c>
      <c r="J860" s="7">
        <v>2</v>
      </c>
      <c r="K860" s="7">
        <v>2023</v>
      </c>
      <c r="L860" s="3">
        <v>50060.73</v>
      </c>
      <c r="M860" s="9" t="s">
        <v>1958</v>
      </c>
      <c r="N860" s="2" t="s">
        <v>1850</v>
      </c>
      <c r="O860" s="3">
        <v>3176539704</v>
      </c>
      <c r="P860" t="s">
        <v>27</v>
      </c>
      <c r="Q860">
        <v>1</v>
      </c>
      <c r="R860" t="s">
        <v>1963</v>
      </c>
    </row>
    <row r="861" spans="1:18" x14ac:dyDescent="0.35">
      <c r="A861" t="s">
        <v>890</v>
      </c>
      <c r="B861" t="s">
        <v>42</v>
      </c>
      <c r="C861" t="s">
        <v>10</v>
      </c>
      <c r="D861" t="s">
        <v>1939</v>
      </c>
      <c r="E861" s="3">
        <v>35</v>
      </c>
      <c r="F861" t="s">
        <v>1817</v>
      </c>
      <c r="G861" t="s">
        <v>1818</v>
      </c>
      <c r="H861" t="s">
        <v>23</v>
      </c>
      <c r="I861" s="1" t="s">
        <v>1737</v>
      </c>
      <c r="J861" s="7">
        <v>2</v>
      </c>
      <c r="K861" s="7">
        <v>2022</v>
      </c>
      <c r="L861" s="3">
        <v>90224.82</v>
      </c>
      <c r="M861" s="9" t="s">
        <v>1960</v>
      </c>
      <c r="N861" s="2" t="s">
        <v>1874</v>
      </c>
      <c r="O861" s="3">
        <v>4873961028</v>
      </c>
      <c r="P861" t="s">
        <v>15</v>
      </c>
      <c r="Q861">
        <v>4</v>
      </c>
      <c r="R861" t="s">
        <v>1963</v>
      </c>
    </row>
    <row r="862" spans="1:18" x14ac:dyDescent="0.35">
      <c r="A862" t="s">
        <v>891</v>
      </c>
      <c r="B862" t="s">
        <v>40</v>
      </c>
      <c r="C862" t="s">
        <v>14</v>
      </c>
      <c r="D862" t="s">
        <v>1953</v>
      </c>
      <c r="E862" s="3">
        <v>40</v>
      </c>
      <c r="F862" t="s">
        <v>1815</v>
      </c>
      <c r="G862" t="s">
        <v>1820</v>
      </c>
      <c r="H862" t="s">
        <v>19</v>
      </c>
      <c r="I862" s="1" t="s">
        <v>1738</v>
      </c>
      <c r="J862" s="7">
        <v>1</v>
      </c>
      <c r="K862" s="7">
        <v>2024</v>
      </c>
      <c r="L862" s="3">
        <v>106859.3</v>
      </c>
      <c r="M862" s="9" t="s">
        <v>1960</v>
      </c>
      <c r="N862" s="2" t="s">
        <v>1888</v>
      </c>
      <c r="O862" s="3">
        <v>871827495</v>
      </c>
      <c r="P862" t="s">
        <v>20</v>
      </c>
      <c r="Q862">
        <v>3</v>
      </c>
      <c r="R862" t="s">
        <v>1963</v>
      </c>
    </row>
    <row r="863" spans="1:18" x14ac:dyDescent="0.35">
      <c r="A863" t="s">
        <v>892</v>
      </c>
      <c r="B863" t="s">
        <v>37</v>
      </c>
      <c r="C863" t="s">
        <v>62</v>
      </c>
      <c r="D863" t="s">
        <v>1949</v>
      </c>
      <c r="E863" s="3">
        <v>25</v>
      </c>
      <c r="F863" t="s">
        <v>1815</v>
      </c>
      <c r="G863" t="s">
        <v>1818</v>
      </c>
      <c r="H863" t="s">
        <v>23</v>
      </c>
      <c r="I863" s="1" t="s">
        <v>1281</v>
      </c>
      <c r="J863" s="7">
        <v>5</v>
      </c>
      <c r="K863" s="7">
        <v>2020</v>
      </c>
      <c r="L863" s="3">
        <v>89707.07</v>
      </c>
      <c r="M863" s="9" t="s">
        <v>1960</v>
      </c>
      <c r="N863" s="2" t="s">
        <v>1884</v>
      </c>
      <c r="O863" s="3">
        <v>8049187273</v>
      </c>
      <c r="P863" t="s">
        <v>20</v>
      </c>
      <c r="Q863">
        <v>3</v>
      </c>
      <c r="R863" t="s">
        <v>1963</v>
      </c>
    </row>
    <row r="864" spans="1:18" x14ac:dyDescent="0.35">
      <c r="A864" t="s">
        <v>893</v>
      </c>
      <c r="B864" t="s">
        <v>25</v>
      </c>
      <c r="C864" t="s">
        <v>35</v>
      </c>
      <c r="D864" t="s">
        <v>1944</v>
      </c>
      <c r="E864" s="3">
        <v>35</v>
      </c>
      <c r="F864" t="s">
        <v>1813</v>
      </c>
      <c r="G864" t="s">
        <v>1814</v>
      </c>
      <c r="H864" t="s">
        <v>23</v>
      </c>
      <c r="I864" s="1" t="s">
        <v>1430</v>
      </c>
      <c r="J864" s="7">
        <v>5</v>
      </c>
      <c r="K864" s="7">
        <v>2020</v>
      </c>
      <c r="L864" s="3">
        <v>94259.08</v>
      </c>
      <c r="M864" s="9" t="s">
        <v>1960</v>
      </c>
      <c r="N864" s="2" t="s">
        <v>1879</v>
      </c>
      <c r="O864" s="3">
        <v>2049561212</v>
      </c>
      <c r="P864" t="s">
        <v>15</v>
      </c>
      <c r="Q864">
        <v>4</v>
      </c>
      <c r="R864" t="s">
        <v>1962</v>
      </c>
    </row>
    <row r="865" spans="1:18" x14ac:dyDescent="0.35">
      <c r="A865" t="s">
        <v>894</v>
      </c>
      <c r="B865" t="s">
        <v>9</v>
      </c>
      <c r="C865" t="s">
        <v>35</v>
      </c>
      <c r="D865" t="s">
        <v>1935</v>
      </c>
      <c r="E865" s="3">
        <v>35</v>
      </c>
      <c r="F865" t="s">
        <v>1821</v>
      </c>
      <c r="G865" t="s">
        <v>1814</v>
      </c>
      <c r="H865" t="s">
        <v>11</v>
      </c>
      <c r="I865" s="1" t="s">
        <v>1739</v>
      </c>
      <c r="J865" s="7">
        <v>1</v>
      </c>
      <c r="K865" s="7">
        <v>2024</v>
      </c>
      <c r="L865" s="3">
        <v>82174.75</v>
      </c>
      <c r="M865" s="9" t="s">
        <v>1959</v>
      </c>
      <c r="N865" s="2" t="s">
        <v>1870</v>
      </c>
      <c r="O865" s="3">
        <v>7730626041</v>
      </c>
      <c r="P865" t="s">
        <v>15</v>
      </c>
      <c r="Q865">
        <v>4</v>
      </c>
      <c r="R865" t="s">
        <v>1963</v>
      </c>
    </row>
    <row r="866" spans="1:18" x14ac:dyDescent="0.35">
      <c r="A866" t="s">
        <v>895</v>
      </c>
      <c r="B866" t="s">
        <v>37</v>
      </c>
      <c r="C866" t="s">
        <v>14</v>
      </c>
      <c r="D866" t="s">
        <v>1938</v>
      </c>
      <c r="E866" s="3">
        <v>30</v>
      </c>
      <c r="F866" t="s">
        <v>1821</v>
      </c>
      <c r="G866" t="s">
        <v>1816</v>
      </c>
      <c r="H866" t="s">
        <v>23</v>
      </c>
      <c r="I866" s="1" t="s">
        <v>1270</v>
      </c>
      <c r="J866" s="7">
        <v>2</v>
      </c>
      <c r="K866" s="7">
        <v>2023</v>
      </c>
      <c r="L866" s="3">
        <v>63370.22</v>
      </c>
      <c r="M866" s="9" t="s">
        <v>1959</v>
      </c>
      <c r="N866" s="2" t="s">
        <v>1873</v>
      </c>
      <c r="O866" s="3">
        <v>3597371121</v>
      </c>
      <c r="P866" t="s">
        <v>15</v>
      </c>
      <c r="Q866">
        <v>4</v>
      </c>
      <c r="R866" t="s">
        <v>1963</v>
      </c>
    </row>
    <row r="867" spans="1:18" x14ac:dyDescent="0.35">
      <c r="A867" t="s">
        <v>896</v>
      </c>
      <c r="B867" t="s">
        <v>9</v>
      </c>
      <c r="C867" t="s">
        <v>62</v>
      </c>
      <c r="D867" t="s">
        <v>1917</v>
      </c>
      <c r="E867" s="3">
        <v>35</v>
      </c>
      <c r="F867" t="s">
        <v>1815</v>
      </c>
      <c r="G867" t="s">
        <v>1816</v>
      </c>
      <c r="H867" t="s">
        <v>19</v>
      </c>
      <c r="I867" s="1" t="s">
        <v>1740</v>
      </c>
      <c r="J867" s="7">
        <v>3</v>
      </c>
      <c r="K867" s="7">
        <v>2022</v>
      </c>
      <c r="L867" s="3">
        <v>101472.69</v>
      </c>
      <c r="M867" s="9" t="s">
        <v>1960</v>
      </c>
      <c r="N867" s="2" t="s">
        <v>1852</v>
      </c>
      <c r="O867" s="3">
        <v>2990775607</v>
      </c>
      <c r="P867" t="s">
        <v>20</v>
      </c>
      <c r="Q867">
        <v>3</v>
      </c>
      <c r="R867" t="s">
        <v>1962</v>
      </c>
    </row>
    <row r="868" spans="1:18" x14ac:dyDescent="0.35">
      <c r="A868" t="s">
        <v>897</v>
      </c>
      <c r="B868" t="s">
        <v>37</v>
      </c>
      <c r="C868" t="s">
        <v>18</v>
      </c>
      <c r="D868" t="s">
        <v>1941</v>
      </c>
      <c r="E868" s="3">
        <v>25</v>
      </c>
      <c r="F868" t="s">
        <v>1813</v>
      </c>
      <c r="G868" t="s">
        <v>1824</v>
      </c>
      <c r="H868" t="s">
        <v>11</v>
      </c>
      <c r="I868" s="1" t="s">
        <v>1741</v>
      </c>
      <c r="J868" s="7">
        <v>3</v>
      </c>
      <c r="K868" s="7">
        <v>2022</v>
      </c>
      <c r="L868" s="3">
        <v>77213.73</v>
      </c>
      <c r="M868" s="9" t="s">
        <v>1959</v>
      </c>
      <c r="N868" s="2" t="s">
        <v>1876</v>
      </c>
      <c r="O868" s="3">
        <v>5816704685</v>
      </c>
      <c r="P868" t="s">
        <v>20</v>
      </c>
      <c r="Q868">
        <v>3</v>
      </c>
      <c r="R868" t="s">
        <v>1963</v>
      </c>
    </row>
    <row r="869" spans="1:18" x14ac:dyDescent="0.35">
      <c r="A869" t="s">
        <v>898</v>
      </c>
      <c r="B869" t="s">
        <v>22</v>
      </c>
      <c r="C869" t="s">
        <v>50</v>
      </c>
      <c r="D869" t="s">
        <v>1943</v>
      </c>
      <c r="E869" s="3">
        <v>40</v>
      </c>
      <c r="F869" t="s">
        <v>1821</v>
      </c>
      <c r="G869" t="s">
        <v>1820</v>
      </c>
      <c r="H869" t="s">
        <v>11</v>
      </c>
      <c r="I869" s="1" t="s">
        <v>1165</v>
      </c>
      <c r="J869" s="7">
        <v>5</v>
      </c>
      <c r="K869" s="7">
        <v>2020</v>
      </c>
      <c r="L869" s="3">
        <v>73749.960000000006</v>
      </c>
      <c r="M869" s="9" t="s">
        <v>1959</v>
      </c>
      <c r="N869" s="2" t="s">
        <v>1878</v>
      </c>
      <c r="O869" s="3">
        <v>1114576831</v>
      </c>
      <c r="P869" t="s">
        <v>27</v>
      </c>
      <c r="Q869">
        <v>1</v>
      </c>
      <c r="R869" t="s">
        <v>1962</v>
      </c>
    </row>
    <row r="870" spans="1:18" x14ac:dyDescent="0.35">
      <c r="A870" t="s">
        <v>899</v>
      </c>
      <c r="B870" t="s">
        <v>17</v>
      </c>
      <c r="C870" t="s">
        <v>10</v>
      </c>
      <c r="D870" t="s">
        <v>1928</v>
      </c>
      <c r="E870" s="3">
        <v>40</v>
      </c>
      <c r="F870" t="s">
        <v>1819</v>
      </c>
      <c r="G870" t="s">
        <v>1822</v>
      </c>
      <c r="H870" t="s">
        <v>19</v>
      </c>
      <c r="I870" s="1" t="s">
        <v>1742</v>
      </c>
      <c r="J870" s="7">
        <v>2</v>
      </c>
      <c r="K870" s="7">
        <v>2023</v>
      </c>
      <c r="L870" s="3">
        <v>86618.37</v>
      </c>
      <c r="M870" s="9" t="s">
        <v>1960</v>
      </c>
      <c r="N870" s="2" t="s">
        <v>1863</v>
      </c>
      <c r="O870" s="3">
        <v>1021923784</v>
      </c>
      <c r="P870" t="s">
        <v>12</v>
      </c>
      <c r="Q870">
        <v>2</v>
      </c>
      <c r="R870" t="s">
        <v>1963</v>
      </c>
    </row>
    <row r="871" spans="1:18" x14ac:dyDescent="0.35">
      <c r="A871" t="s">
        <v>900</v>
      </c>
      <c r="B871" t="s">
        <v>34</v>
      </c>
      <c r="C871" t="s">
        <v>50</v>
      </c>
      <c r="D871" t="s">
        <v>1954</v>
      </c>
      <c r="E871" s="3">
        <v>30</v>
      </c>
      <c r="F871" t="s">
        <v>1817</v>
      </c>
      <c r="G871" t="s">
        <v>1816</v>
      </c>
      <c r="H871" t="s">
        <v>11</v>
      </c>
      <c r="I871" s="1" t="s">
        <v>1601</v>
      </c>
      <c r="J871" s="7">
        <v>1</v>
      </c>
      <c r="K871" s="7">
        <v>2024</v>
      </c>
      <c r="L871" s="3">
        <v>59911.33</v>
      </c>
      <c r="M871" s="9" t="s">
        <v>1958</v>
      </c>
      <c r="N871" s="2" t="s">
        <v>1889</v>
      </c>
      <c r="O871" s="3">
        <v>8471296179</v>
      </c>
      <c r="P871" t="s">
        <v>15</v>
      </c>
      <c r="Q871">
        <v>4</v>
      </c>
      <c r="R871" t="s">
        <v>1962</v>
      </c>
    </row>
    <row r="872" spans="1:18" x14ac:dyDescent="0.35">
      <c r="A872" t="s">
        <v>901</v>
      </c>
      <c r="B872" t="s">
        <v>40</v>
      </c>
      <c r="C872" t="s">
        <v>18</v>
      </c>
      <c r="D872" t="s">
        <v>1947</v>
      </c>
      <c r="E872" s="3">
        <v>30</v>
      </c>
      <c r="F872" t="s">
        <v>1819</v>
      </c>
      <c r="G872" t="s">
        <v>1822</v>
      </c>
      <c r="H872" t="s">
        <v>19</v>
      </c>
      <c r="I872" s="1" t="s">
        <v>1353</v>
      </c>
      <c r="J872" s="7">
        <v>2</v>
      </c>
      <c r="K872" s="7">
        <v>2023</v>
      </c>
      <c r="L872" s="3">
        <v>59137.64</v>
      </c>
      <c r="M872" s="9" t="s">
        <v>1958</v>
      </c>
      <c r="N872" s="2" t="s">
        <v>1882</v>
      </c>
      <c r="O872" s="3">
        <v>3324260507</v>
      </c>
      <c r="P872" t="s">
        <v>20</v>
      </c>
      <c r="Q872">
        <v>3</v>
      </c>
      <c r="R872" t="s">
        <v>1963</v>
      </c>
    </row>
    <row r="873" spans="1:18" x14ac:dyDescent="0.35">
      <c r="A873" t="s">
        <v>902</v>
      </c>
      <c r="B873" t="s">
        <v>17</v>
      </c>
      <c r="C873" t="s">
        <v>29</v>
      </c>
      <c r="D873" t="s">
        <v>1897</v>
      </c>
      <c r="E873" s="3">
        <v>35</v>
      </c>
      <c r="F873" t="s">
        <v>1819</v>
      </c>
      <c r="G873" t="s">
        <v>1820</v>
      </c>
      <c r="H873" t="s">
        <v>19</v>
      </c>
      <c r="I873" s="1" t="s">
        <v>1524</v>
      </c>
      <c r="J873" s="7">
        <v>4</v>
      </c>
      <c r="K873" s="7">
        <v>2020</v>
      </c>
      <c r="L873" s="3">
        <v>108474.65</v>
      </c>
      <c r="M873" s="9" t="s">
        <v>1960</v>
      </c>
      <c r="N873" s="2" t="s">
        <v>1832</v>
      </c>
      <c r="O873" s="3">
        <v>184980424</v>
      </c>
      <c r="P873" t="s">
        <v>20</v>
      </c>
      <c r="Q873">
        <v>3</v>
      </c>
      <c r="R873" t="s">
        <v>1962</v>
      </c>
    </row>
    <row r="874" spans="1:18" x14ac:dyDescent="0.35">
      <c r="A874" t="s">
        <v>903</v>
      </c>
      <c r="B874" t="s">
        <v>9</v>
      </c>
      <c r="C874" t="s">
        <v>35</v>
      </c>
      <c r="D874" t="s">
        <v>1935</v>
      </c>
      <c r="E874" s="3">
        <v>25</v>
      </c>
      <c r="F874" t="s">
        <v>1815</v>
      </c>
      <c r="G874" t="s">
        <v>1824</v>
      </c>
      <c r="H874" t="s">
        <v>19</v>
      </c>
      <c r="I874" s="1" t="s">
        <v>1225</v>
      </c>
      <c r="J874" s="7">
        <v>4</v>
      </c>
      <c r="K874" s="7">
        <v>2021</v>
      </c>
      <c r="L874" s="3">
        <v>54417.71</v>
      </c>
      <c r="M874" s="9" t="s">
        <v>1958</v>
      </c>
      <c r="N874" s="2" t="s">
        <v>1870</v>
      </c>
      <c r="O874" s="3">
        <v>3733777311</v>
      </c>
      <c r="P874" t="s">
        <v>15</v>
      </c>
      <c r="Q874">
        <v>4</v>
      </c>
      <c r="R874" t="s">
        <v>1963</v>
      </c>
    </row>
    <row r="875" spans="1:18" x14ac:dyDescent="0.35">
      <c r="A875" t="s">
        <v>904</v>
      </c>
      <c r="B875" t="s">
        <v>25</v>
      </c>
      <c r="C875" t="s">
        <v>62</v>
      </c>
      <c r="D875" t="s">
        <v>1922</v>
      </c>
      <c r="E875" s="3">
        <v>40</v>
      </c>
      <c r="F875" t="s">
        <v>1823</v>
      </c>
      <c r="G875" t="s">
        <v>1816</v>
      </c>
      <c r="H875" t="s">
        <v>19</v>
      </c>
      <c r="I875" s="1" t="s">
        <v>1743</v>
      </c>
      <c r="J875" s="7">
        <v>2</v>
      </c>
      <c r="K875" s="7">
        <v>2023</v>
      </c>
      <c r="L875" s="3">
        <v>88211.94</v>
      </c>
      <c r="M875" s="9" t="s">
        <v>1960</v>
      </c>
      <c r="N875" s="2" t="s">
        <v>1857</v>
      </c>
      <c r="O875" s="3">
        <v>6881228216</v>
      </c>
      <c r="P875" t="s">
        <v>12</v>
      </c>
      <c r="Q875">
        <v>2</v>
      </c>
      <c r="R875" t="s">
        <v>1963</v>
      </c>
    </row>
    <row r="876" spans="1:18" x14ac:dyDescent="0.35">
      <c r="A876" t="s">
        <v>905</v>
      </c>
      <c r="B876" t="s">
        <v>37</v>
      </c>
      <c r="C876" t="s">
        <v>35</v>
      </c>
      <c r="D876" t="s">
        <v>1937</v>
      </c>
      <c r="E876" s="3">
        <v>25</v>
      </c>
      <c r="F876" t="s">
        <v>1821</v>
      </c>
      <c r="G876" t="s">
        <v>1822</v>
      </c>
      <c r="H876" t="s">
        <v>23</v>
      </c>
      <c r="I876" s="1" t="s">
        <v>1264</v>
      </c>
      <c r="J876" s="7">
        <v>5</v>
      </c>
      <c r="K876" s="7">
        <v>2020</v>
      </c>
      <c r="L876" s="3">
        <v>58452.18</v>
      </c>
      <c r="M876" s="9" t="s">
        <v>1958</v>
      </c>
      <c r="N876" s="2" t="s">
        <v>1872</v>
      </c>
      <c r="O876" s="3">
        <v>8192365345</v>
      </c>
      <c r="P876" t="s">
        <v>15</v>
      </c>
      <c r="Q876">
        <v>4</v>
      </c>
      <c r="R876" t="s">
        <v>1962</v>
      </c>
    </row>
    <row r="877" spans="1:18" x14ac:dyDescent="0.35">
      <c r="A877" t="s">
        <v>906</v>
      </c>
      <c r="B877" t="s">
        <v>42</v>
      </c>
      <c r="C877" t="s">
        <v>26</v>
      </c>
      <c r="D877" t="s">
        <v>1905</v>
      </c>
      <c r="E877" s="3">
        <v>30</v>
      </c>
      <c r="F877" t="s">
        <v>1813</v>
      </c>
      <c r="G877" t="s">
        <v>1814</v>
      </c>
      <c r="H877" t="s">
        <v>19</v>
      </c>
      <c r="I877" s="1" t="s">
        <v>1286</v>
      </c>
      <c r="J877" s="7">
        <v>5</v>
      </c>
      <c r="K877" s="7">
        <v>2020</v>
      </c>
      <c r="L877" s="3">
        <v>80706.28</v>
      </c>
      <c r="M877" s="9" t="s">
        <v>1959</v>
      </c>
      <c r="N877" s="2" t="s">
        <v>1840</v>
      </c>
      <c r="O877" s="3">
        <v>605603566</v>
      </c>
      <c r="P877" t="s">
        <v>12</v>
      </c>
      <c r="Q877">
        <v>2</v>
      </c>
      <c r="R877" t="s">
        <v>1962</v>
      </c>
    </row>
    <row r="878" spans="1:18" x14ac:dyDescent="0.35">
      <c r="A878" t="s">
        <v>907</v>
      </c>
      <c r="B878" t="s">
        <v>17</v>
      </c>
      <c r="C878" t="s">
        <v>35</v>
      </c>
      <c r="D878" t="s">
        <v>1925</v>
      </c>
      <c r="E878" s="3">
        <v>30</v>
      </c>
      <c r="F878" t="s">
        <v>1819</v>
      </c>
      <c r="G878" t="s">
        <v>1818</v>
      </c>
      <c r="H878" t="s">
        <v>19</v>
      </c>
      <c r="I878" s="1" t="s">
        <v>1221</v>
      </c>
      <c r="J878" s="7">
        <v>3</v>
      </c>
      <c r="K878" s="7">
        <v>2022</v>
      </c>
      <c r="L878" s="3">
        <v>0</v>
      </c>
      <c r="M878" s="9" t="s">
        <v>1958</v>
      </c>
      <c r="N878" s="2" t="s">
        <v>1860</v>
      </c>
      <c r="O878" s="3">
        <v>9327986238</v>
      </c>
      <c r="P878" t="s">
        <v>20</v>
      </c>
      <c r="Q878">
        <v>3</v>
      </c>
      <c r="R878" t="s">
        <v>1962</v>
      </c>
    </row>
    <row r="879" spans="1:18" x14ac:dyDescent="0.35">
      <c r="A879" t="s">
        <v>908</v>
      </c>
      <c r="B879" t="s">
        <v>40</v>
      </c>
      <c r="C879" t="s">
        <v>35</v>
      </c>
      <c r="D879" t="s">
        <v>1915</v>
      </c>
      <c r="E879" s="3">
        <v>25</v>
      </c>
      <c r="F879" t="s">
        <v>1819</v>
      </c>
      <c r="G879" t="s">
        <v>1816</v>
      </c>
      <c r="H879" t="s">
        <v>11</v>
      </c>
      <c r="I879" s="1" t="s">
        <v>1744</v>
      </c>
      <c r="J879" s="7">
        <v>5</v>
      </c>
      <c r="K879" s="7">
        <v>2020</v>
      </c>
      <c r="L879" s="3">
        <v>99471.89</v>
      </c>
      <c r="M879" s="9" t="s">
        <v>1960</v>
      </c>
      <c r="N879" s="2" t="s">
        <v>1850</v>
      </c>
      <c r="O879" s="3">
        <v>8471690617</v>
      </c>
      <c r="P879" t="s">
        <v>12</v>
      </c>
      <c r="Q879">
        <v>2</v>
      </c>
      <c r="R879" t="s">
        <v>1962</v>
      </c>
    </row>
    <row r="880" spans="1:18" x14ac:dyDescent="0.35">
      <c r="A880" t="s">
        <v>909</v>
      </c>
      <c r="B880" t="s">
        <v>22</v>
      </c>
      <c r="C880" t="s">
        <v>18</v>
      </c>
      <c r="D880" t="s">
        <v>1945</v>
      </c>
      <c r="E880" s="3">
        <v>40</v>
      </c>
      <c r="F880" t="s">
        <v>1813</v>
      </c>
      <c r="G880" t="s">
        <v>1820</v>
      </c>
      <c r="H880" t="s">
        <v>19</v>
      </c>
      <c r="I880" s="1" t="s">
        <v>1745</v>
      </c>
      <c r="J880" s="7">
        <v>5</v>
      </c>
      <c r="K880" s="7">
        <v>2020</v>
      </c>
      <c r="L880" s="3">
        <v>64431.22</v>
      </c>
      <c r="M880" s="9" t="s">
        <v>1959</v>
      </c>
      <c r="N880" s="2" t="s">
        <v>1880</v>
      </c>
      <c r="O880" s="3">
        <v>1205464753</v>
      </c>
      <c r="P880" t="s">
        <v>27</v>
      </c>
      <c r="Q880">
        <v>1</v>
      </c>
      <c r="R880" t="s">
        <v>1963</v>
      </c>
    </row>
    <row r="881" spans="1:18" x14ac:dyDescent="0.35">
      <c r="A881" t="s">
        <v>910</v>
      </c>
      <c r="B881" t="s">
        <v>40</v>
      </c>
      <c r="C881" t="s">
        <v>18</v>
      </c>
      <c r="D881" t="s">
        <v>1947</v>
      </c>
      <c r="E881" s="3">
        <v>40</v>
      </c>
      <c r="F881" t="s">
        <v>1817</v>
      </c>
      <c r="G881" t="s">
        <v>1822</v>
      </c>
      <c r="H881" t="s">
        <v>19</v>
      </c>
      <c r="I881" s="1" t="s">
        <v>1682</v>
      </c>
      <c r="J881" s="7">
        <v>2</v>
      </c>
      <c r="K881" s="7">
        <v>2023</v>
      </c>
      <c r="L881" s="3">
        <v>52633.48</v>
      </c>
      <c r="M881" s="9" t="s">
        <v>1958</v>
      </c>
      <c r="N881" s="2" t="s">
        <v>1882</v>
      </c>
      <c r="O881" s="3">
        <v>8954787697</v>
      </c>
      <c r="P881" t="s">
        <v>20</v>
      </c>
      <c r="Q881">
        <v>3</v>
      </c>
      <c r="R881" t="s">
        <v>1963</v>
      </c>
    </row>
    <row r="882" spans="1:18" x14ac:dyDescent="0.35">
      <c r="A882" t="s">
        <v>911</v>
      </c>
      <c r="B882" t="s">
        <v>40</v>
      </c>
      <c r="C882" t="s">
        <v>18</v>
      </c>
      <c r="D882" t="s">
        <v>1947</v>
      </c>
      <c r="E882" s="3">
        <v>30</v>
      </c>
      <c r="F882" t="s">
        <v>1819</v>
      </c>
      <c r="G882" t="s">
        <v>1818</v>
      </c>
      <c r="H882" t="s">
        <v>23</v>
      </c>
      <c r="I882" s="1" t="s">
        <v>1746</v>
      </c>
      <c r="J882" s="7">
        <v>3</v>
      </c>
      <c r="K882" s="7">
        <v>2021</v>
      </c>
      <c r="L882" s="3">
        <v>79315.009999999995</v>
      </c>
      <c r="M882" s="9" t="s">
        <v>1959</v>
      </c>
      <c r="N882" s="2" t="s">
        <v>1882</v>
      </c>
      <c r="O882" s="3">
        <v>9992751757</v>
      </c>
      <c r="P882" t="s">
        <v>27</v>
      </c>
      <c r="Q882">
        <v>1</v>
      </c>
      <c r="R882" t="s">
        <v>1962</v>
      </c>
    </row>
    <row r="883" spans="1:18" x14ac:dyDescent="0.35">
      <c r="A883" t="s">
        <v>912</v>
      </c>
      <c r="B883" t="s">
        <v>37</v>
      </c>
      <c r="C883" t="s">
        <v>50</v>
      </c>
      <c r="D883" t="s">
        <v>1913</v>
      </c>
      <c r="E883" s="3">
        <v>25</v>
      </c>
      <c r="F883" t="s">
        <v>1821</v>
      </c>
      <c r="G883" t="s">
        <v>1816</v>
      </c>
      <c r="H883" t="s">
        <v>19</v>
      </c>
      <c r="I883" s="1" t="s">
        <v>1747</v>
      </c>
      <c r="J883" s="7">
        <v>3</v>
      </c>
      <c r="K883" s="7">
        <v>2022</v>
      </c>
      <c r="L883" s="3">
        <v>110391.17</v>
      </c>
      <c r="M883" s="9" t="s">
        <v>1960</v>
      </c>
      <c r="N883" s="2" t="s">
        <v>1848</v>
      </c>
      <c r="O883" s="3">
        <v>8914444982</v>
      </c>
      <c r="P883" t="s">
        <v>15</v>
      </c>
      <c r="Q883">
        <v>4</v>
      </c>
      <c r="R883" t="s">
        <v>1963</v>
      </c>
    </row>
    <row r="884" spans="1:18" x14ac:dyDescent="0.35">
      <c r="A884" t="s">
        <v>913</v>
      </c>
      <c r="B884" t="s">
        <v>37</v>
      </c>
      <c r="C884" t="s">
        <v>26</v>
      </c>
      <c r="D884" t="s">
        <v>1902</v>
      </c>
      <c r="E884" s="3">
        <v>40</v>
      </c>
      <c r="F884" t="s">
        <v>1813</v>
      </c>
      <c r="G884" t="s">
        <v>1818</v>
      </c>
      <c r="H884" t="s">
        <v>11</v>
      </c>
      <c r="I884" s="1" t="s">
        <v>1748</v>
      </c>
      <c r="J884" s="7">
        <v>4</v>
      </c>
      <c r="K884" s="7">
        <v>2021</v>
      </c>
      <c r="L884" s="3">
        <v>53714.83</v>
      </c>
      <c r="M884" s="9" t="s">
        <v>1958</v>
      </c>
      <c r="N884" s="2" t="s">
        <v>1837</v>
      </c>
      <c r="O884" s="3">
        <v>5539354357</v>
      </c>
      <c r="P884" t="s">
        <v>15</v>
      </c>
      <c r="Q884">
        <v>4</v>
      </c>
      <c r="R884" t="s">
        <v>1962</v>
      </c>
    </row>
    <row r="885" spans="1:18" x14ac:dyDescent="0.35">
      <c r="A885" t="s">
        <v>914</v>
      </c>
      <c r="B885" t="s">
        <v>34</v>
      </c>
      <c r="C885" t="s">
        <v>29</v>
      </c>
      <c r="D885" t="s">
        <v>1909</v>
      </c>
      <c r="E885" s="3">
        <v>40</v>
      </c>
      <c r="F885" t="s">
        <v>1815</v>
      </c>
      <c r="G885" t="s">
        <v>1822</v>
      </c>
      <c r="H885" t="s">
        <v>11</v>
      </c>
      <c r="I885" s="1" t="s">
        <v>1749</v>
      </c>
      <c r="J885" s="7">
        <v>2</v>
      </c>
      <c r="K885" s="7">
        <v>2023</v>
      </c>
      <c r="L885" s="3">
        <v>114587.11</v>
      </c>
      <c r="M885" s="9" t="s">
        <v>1960</v>
      </c>
      <c r="N885" s="2" t="s">
        <v>1844</v>
      </c>
      <c r="O885" s="3">
        <v>6449639242</v>
      </c>
      <c r="P885" t="s">
        <v>15</v>
      </c>
      <c r="Q885">
        <v>4</v>
      </c>
      <c r="R885" t="s">
        <v>1962</v>
      </c>
    </row>
    <row r="886" spans="1:18" x14ac:dyDescent="0.35">
      <c r="A886" t="s">
        <v>915</v>
      </c>
      <c r="B886" t="s">
        <v>25</v>
      </c>
      <c r="C886" t="s">
        <v>29</v>
      </c>
      <c r="D886" t="s">
        <v>1932</v>
      </c>
      <c r="E886" s="3">
        <v>35</v>
      </c>
      <c r="F886" t="s">
        <v>1817</v>
      </c>
      <c r="G886" t="s">
        <v>1820</v>
      </c>
      <c r="H886" t="s">
        <v>23</v>
      </c>
      <c r="I886" s="1" t="s">
        <v>1750</v>
      </c>
      <c r="J886" s="7">
        <v>4</v>
      </c>
      <c r="K886" s="7">
        <v>2021</v>
      </c>
      <c r="L886" s="3">
        <v>93177.35</v>
      </c>
      <c r="M886" s="9" t="s">
        <v>1960</v>
      </c>
      <c r="N886" s="2" t="s">
        <v>1867</v>
      </c>
      <c r="O886" s="3">
        <v>5885379820</v>
      </c>
      <c r="P886" t="s">
        <v>12</v>
      </c>
      <c r="Q886">
        <v>2</v>
      </c>
      <c r="R886" t="s">
        <v>1963</v>
      </c>
    </row>
    <row r="887" spans="1:18" x14ac:dyDescent="0.35">
      <c r="A887" t="s">
        <v>916</v>
      </c>
      <c r="B887" t="s">
        <v>40</v>
      </c>
      <c r="C887" t="s">
        <v>18</v>
      </c>
      <c r="D887" t="s">
        <v>1947</v>
      </c>
      <c r="E887" s="3">
        <v>25</v>
      </c>
      <c r="F887" t="s">
        <v>1819</v>
      </c>
      <c r="G887" t="s">
        <v>1818</v>
      </c>
      <c r="H887" t="s">
        <v>11</v>
      </c>
      <c r="I887" s="1" t="s">
        <v>1401</v>
      </c>
      <c r="J887" s="7">
        <v>2</v>
      </c>
      <c r="K887" s="7">
        <v>2023</v>
      </c>
      <c r="L887" s="3">
        <v>62312.13</v>
      </c>
      <c r="M887" s="9" t="s">
        <v>1959</v>
      </c>
      <c r="N887" s="2" t="s">
        <v>1882</v>
      </c>
      <c r="O887" s="3">
        <v>4339527535</v>
      </c>
      <c r="P887" t="s">
        <v>20</v>
      </c>
      <c r="Q887">
        <v>3</v>
      </c>
      <c r="R887" t="s">
        <v>1963</v>
      </c>
    </row>
    <row r="888" spans="1:18" x14ac:dyDescent="0.35">
      <c r="A888" t="s">
        <v>917</v>
      </c>
      <c r="B888" t="s">
        <v>40</v>
      </c>
      <c r="C888" t="s">
        <v>62</v>
      </c>
      <c r="D888" t="s">
        <v>1951</v>
      </c>
      <c r="E888" s="3">
        <v>30</v>
      </c>
      <c r="F888" t="s">
        <v>1819</v>
      </c>
      <c r="G888" t="s">
        <v>1816</v>
      </c>
      <c r="H888" t="s">
        <v>11</v>
      </c>
      <c r="I888" s="1" t="s">
        <v>1751</v>
      </c>
      <c r="J888" s="7">
        <v>1</v>
      </c>
      <c r="K888" s="7">
        <v>2024</v>
      </c>
      <c r="L888" s="3">
        <v>81137.460000000006</v>
      </c>
      <c r="M888" s="9" t="s">
        <v>1959</v>
      </c>
      <c r="N888" s="2" t="s">
        <v>1886</v>
      </c>
      <c r="O888" s="3">
        <v>7497852490</v>
      </c>
      <c r="P888" t="s">
        <v>15</v>
      </c>
      <c r="Q888">
        <v>4</v>
      </c>
      <c r="R888" t="s">
        <v>1963</v>
      </c>
    </row>
    <row r="889" spans="1:18" x14ac:dyDescent="0.35">
      <c r="A889" t="s">
        <v>918</v>
      </c>
      <c r="B889" t="s">
        <v>42</v>
      </c>
      <c r="C889" t="s">
        <v>50</v>
      </c>
      <c r="D889" t="s">
        <v>1930</v>
      </c>
      <c r="E889" s="3">
        <v>30</v>
      </c>
      <c r="F889" t="s">
        <v>1813</v>
      </c>
      <c r="G889" t="s">
        <v>1818</v>
      </c>
      <c r="H889" t="s">
        <v>23</v>
      </c>
      <c r="I889" s="1" t="s">
        <v>1752</v>
      </c>
      <c r="J889" s="7">
        <v>4</v>
      </c>
      <c r="K889" s="7">
        <v>2021</v>
      </c>
      <c r="L889" s="3">
        <v>104528.27</v>
      </c>
      <c r="M889" s="9" t="s">
        <v>1960</v>
      </c>
      <c r="N889" s="2" t="s">
        <v>1865</v>
      </c>
      <c r="O889" s="3">
        <v>4168601346</v>
      </c>
      <c r="P889" t="s">
        <v>15</v>
      </c>
      <c r="Q889">
        <v>4</v>
      </c>
      <c r="R889" t="s">
        <v>1963</v>
      </c>
    </row>
    <row r="890" spans="1:18" x14ac:dyDescent="0.35">
      <c r="A890" t="s">
        <v>919</v>
      </c>
      <c r="B890" t="s">
        <v>9</v>
      </c>
      <c r="C890" t="s">
        <v>14</v>
      </c>
      <c r="D890" t="s">
        <v>1893</v>
      </c>
      <c r="E890" s="3">
        <v>30</v>
      </c>
      <c r="F890" t="s">
        <v>1813</v>
      </c>
      <c r="G890" t="s">
        <v>1820</v>
      </c>
      <c r="H890" t="s">
        <v>11</v>
      </c>
      <c r="I890" s="1" t="s">
        <v>1337</v>
      </c>
      <c r="J890" s="7">
        <v>3</v>
      </c>
      <c r="K890" s="7">
        <v>2022</v>
      </c>
      <c r="L890" s="3">
        <v>112395.56</v>
      </c>
      <c r="M890" s="9" t="s">
        <v>1960</v>
      </c>
      <c r="N890" s="2" t="s">
        <v>1828</v>
      </c>
      <c r="O890" s="3">
        <v>7894896339</v>
      </c>
      <c r="P890" t="s">
        <v>20</v>
      </c>
      <c r="Q890">
        <v>3</v>
      </c>
      <c r="R890" t="s">
        <v>1963</v>
      </c>
    </row>
    <row r="891" spans="1:18" x14ac:dyDescent="0.35">
      <c r="A891" t="s">
        <v>920</v>
      </c>
      <c r="B891" t="s">
        <v>40</v>
      </c>
      <c r="C891" t="s">
        <v>62</v>
      </c>
      <c r="D891" t="s">
        <v>1951</v>
      </c>
      <c r="E891" s="3">
        <v>25</v>
      </c>
      <c r="F891" t="s">
        <v>1815</v>
      </c>
      <c r="G891" t="s">
        <v>1822</v>
      </c>
      <c r="H891" t="s">
        <v>11</v>
      </c>
      <c r="I891" s="1" t="s">
        <v>1753</v>
      </c>
      <c r="J891" s="7">
        <v>2</v>
      </c>
      <c r="K891" s="7">
        <v>2023</v>
      </c>
      <c r="L891" s="3">
        <v>81849.36</v>
      </c>
      <c r="M891" s="9" t="s">
        <v>1959</v>
      </c>
      <c r="N891" s="2" t="s">
        <v>1886</v>
      </c>
      <c r="O891" s="3">
        <v>6791766511</v>
      </c>
      <c r="P891" t="s">
        <v>15</v>
      </c>
      <c r="Q891">
        <v>4</v>
      </c>
      <c r="R891" t="s">
        <v>1963</v>
      </c>
    </row>
    <row r="892" spans="1:18" x14ac:dyDescent="0.35">
      <c r="A892" t="s">
        <v>921</v>
      </c>
      <c r="B892" t="s">
        <v>34</v>
      </c>
      <c r="C892" t="s">
        <v>10</v>
      </c>
      <c r="D892" t="s">
        <v>1931</v>
      </c>
      <c r="E892" s="3">
        <v>40</v>
      </c>
      <c r="F892" t="s">
        <v>1813</v>
      </c>
      <c r="G892" t="s">
        <v>1822</v>
      </c>
      <c r="H892" t="s">
        <v>19</v>
      </c>
      <c r="I892" s="1" t="s">
        <v>1455</v>
      </c>
      <c r="J892" s="7">
        <v>3</v>
      </c>
      <c r="K892" s="7">
        <v>2022</v>
      </c>
      <c r="L892" s="3">
        <v>118288.91</v>
      </c>
      <c r="M892" s="9" t="s">
        <v>1960</v>
      </c>
      <c r="N892" s="2" t="s">
        <v>1866</v>
      </c>
      <c r="O892" s="3">
        <v>2150014187</v>
      </c>
      <c r="P892" t="s">
        <v>27</v>
      </c>
      <c r="Q892">
        <v>1</v>
      </c>
      <c r="R892" t="s">
        <v>1963</v>
      </c>
    </row>
    <row r="893" spans="1:18" x14ac:dyDescent="0.35">
      <c r="A893" t="s">
        <v>922</v>
      </c>
      <c r="B893" t="s">
        <v>34</v>
      </c>
      <c r="C893" t="s">
        <v>10</v>
      </c>
      <c r="D893" t="s">
        <v>1931</v>
      </c>
      <c r="E893" s="3">
        <v>25</v>
      </c>
      <c r="F893" t="s">
        <v>1813</v>
      </c>
      <c r="G893" t="s">
        <v>1824</v>
      </c>
      <c r="H893" t="s">
        <v>11</v>
      </c>
      <c r="I893" s="1" t="s">
        <v>1383</v>
      </c>
      <c r="J893" s="7">
        <v>4</v>
      </c>
      <c r="K893" s="7">
        <v>2021</v>
      </c>
      <c r="L893" s="3">
        <v>59555.1</v>
      </c>
      <c r="M893" s="9" t="s">
        <v>1958</v>
      </c>
      <c r="N893" s="2" t="s">
        <v>1866</v>
      </c>
      <c r="O893" s="3">
        <v>4216309000</v>
      </c>
      <c r="P893" t="s">
        <v>20</v>
      </c>
      <c r="Q893">
        <v>3</v>
      </c>
      <c r="R893" t="s">
        <v>1962</v>
      </c>
    </row>
    <row r="894" spans="1:18" x14ac:dyDescent="0.35">
      <c r="A894" t="s">
        <v>923</v>
      </c>
      <c r="B894" t="s">
        <v>40</v>
      </c>
      <c r="C894" t="s">
        <v>62</v>
      </c>
      <c r="D894" t="s">
        <v>1951</v>
      </c>
      <c r="E894" s="3">
        <v>40</v>
      </c>
      <c r="F894" t="s">
        <v>1817</v>
      </c>
      <c r="G894" t="s">
        <v>1814</v>
      </c>
      <c r="H894" t="s">
        <v>11</v>
      </c>
      <c r="I894" s="1" t="s">
        <v>1570</v>
      </c>
      <c r="J894" s="7">
        <v>0</v>
      </c>
      <c r="K894" s="7">
        <v>2024</v>
      </c>
      <c r="L894" s="3">
        <v>70661.31</v>
      </c>
      <c r="M894" s="9" t="s">
        <v>1959</v>
      </c>
      <c r="N894" s="2" t="s">
        <v>1886</v>
      </c>
      <c r="O894" s="3">
        <v>5944633398</v>
      </c>
      <c r="P894" t="s">
        <v>20</v>
      </c>
      <c r="Q894">
        <v>3</v>
      </c>
      <c r="R894" t="s">
        <v>1962</v>
      </c>
    </row>
    <row r="895" spans="1:18" x14ac:dyDescent="0.35">
      <c r="A895" t="s">
        <v>924</v>
      </c>
      <c r="B895" t="s">
        <v>34</v>
      </c>
      <c r="C895" t="s">
        <v>18</v>
      </c>
      <c r="D895" t="s">
        <v>1916</v>
      </c>
      <c r="E895" s="3">
        <v>30</v>
      </c>
      <c r="F895" t="s">
        <v>1821</v>
      </c>
      <c r="G895" t="s">
        <v>1822</v>
      </c>
      <c r="H895" t="s">
        <v>11</v>
      </c>
      <c r="I895" s="1" t="s">
        <v>1420</v>
      </c>
      <c r="J895" s="7">
        <v>3</v>
      </c>
      <c r="K895" s="7">
        <v>2022</v>
      </c>
      <c r="L895" s="3">
        <v>109988.16</v>
      </c>
      <c r="M895" s="9" t="s">
        <v>1960</v>
      </c>
      <c r="N895" s="2" t="s">
        <v>1851</v>
      </c>
      <c r="O895" s="3">
        <v>9485320894</v>
      </c>
      <c r="P895" t="s">
        <v>20</v>
      </c>
      <c r="Q895">
        <v>3</v>
      </c>
      <c r="R895" t="s">
        <v>1962</v>
      </c>
    </row>
    <row r="896" spans="1:18" x14ac:dyDescent="0.35">
      <c r="A896" t="s">
        <v>925</v>
      </c>
      <c r="B896" t="s">
        <v>37</v>
      </c>
      <c r="C896" t="s">
        <v>14</v>
      </c>
      <c r="D896" t="s">
        <v>1938</v>
      </c>
      <c r="E896" s="3">
        <v>30</v>
      </c>
      <c r="F896" t="s">
        <v>1815</v>
      </c>
      <c r="G896" t="s">
        <v>1820</v>
      </c>
      <c r="H896" t="s">
        <v>23</v>
      </c>
      <c r="I896" s="1" t="s">
        <v>1754</v>
      </c>
      <c r="J896" s="7">
        <v>5</v>
      </c>
      <c r="K896" s="7">
        <v>2020</v>
      </c>
      <c r="L896" s="3">
        <v>101101.24</v>
      </c>
      <c r="M896" s="9" t="s">
        <v>1960</v>
      </c>
      <c r="N896" s="2" t="s">
        <v>1873</v>
      </c>
      <c r="O896" s="3">
        <v>3263890218</v>
      </c>
      <c r="P896" t="s">
        <v>27</v>
      </c>
      <c r="Q896">
        <v>1</v>
      </c>
      <c r="R896" t="s">
        <v>1962</v>
      </c>
    </row>
    <row r="897" spans="1:18" x14ac:dyDescent="0.35">
      <c r="A897" t="s">
        <v>926</v>
      </c>
      <c r="B897" t="s">
        <v>37</v>
      </c>
      <c r="C897" t="s">
        <v>14</v>
      </c>
      <c r="D897" t="s">
        <v>1938</v>
      </c>
      <c r="E897" s="3">
        <v>30</v>
      </c>
      <c r="F897" t="s">
        <v>1823</v>
      </c>
      <c r="G897" t="s">
        <v>1820</v>
      </c>
      <c r="H897" t="s">
        <v>19</v>
      </c>
      <c r="I897" s="1" t="s">
        <v>1755</v>
      </c>
      <c r="J897" s="7">
        <v>4</v>
      </c>
      <c r="K897" s="7">
        <v>2021</v>
      </c>
      <c r="L897" s="3">
        <v>112427.58</v>
      </c>
      <c r="M897" s="9" t="s">
        <v>1960</v>
      </c>
      <c r="N897" s="2" t="s">
        <v>1873</v>
      </c>
      <c r="O897" s="3">
        <v>9471136336</v>
      </c>
      <c r="P897" t="s">
        <v>20</v>
      </c>
      <c r="Q897">
        <v>3</v>
      </c>
      <c r="R897" t="s">
        <v>1962</v>
      </c>
    </row>
    <row r="898" spans="1:18" x14ac:dyDescent="0.35">
      <c r="A898" t="s">
        <v>927</v>
      </c>
      <c r="B898" t="s">
        <v>34</v>
      </c>
      <c r="C898" t="s">
        <v>50</v>
      </c>
      <c r="D898" t="s">
        <v>1954</v>
      </c>
      <c r="E898" s="3">
        <v>30</v>
      </c>
      <c r="F898" t="s">
        <v>1819</v>
      </c>
      <c r="G898" t="s">
        <v>1820</v>
      </c>
      <c r="H898" t="s">
        <v>11</v>
      </c>
      <c r="I898" s="1" t="s">
        <v>1129</v>
      </c>
      <c r="J898" s="7">
        <v>5</v>
      </c>
      <c r="K898" s="7">
        <v>2020</v>
      </c>
      <c r="L898" s="3">
        <v>119389.15</v>
      </c>
      <c r="M898" s="9" t="s">
        <v>1960</v>
      </c>
      <c r="N898" s="2" t="s">
        <v>1889</v>
      </c>
      <c r="O898" s="3">
        <v>9223410345</v>
      </c>
      <c r="P898" t="s">
        <v>27</v>
      </c>
      <c r="Q898">
        <v>1</v>
      </c>
      <c r="R898" t="s">
        <v>1963</v>
      </c>
    </row>
    <row r="899" spans="1:18" x14ac:dyDescent="0.35">
      <c r="A899" t="s">
        <v>928</v>
      </c>
      <c r="B899" t="s">
        <v>17</v>
      </c>
      <c r="C899" t="s">
        <v>14</v>
      </c>
      <c r="D899" t="s">
        <v>1907</v>
      </c>
      <c r="E899" s="3">
        <v>40</v>
      </c>
      <c r="F899" t="s">
        <v>1821</v>
      </c>
      <c r="G899" t="s">
        <v>1820</v>
      </c>
      <c r="H899" t="s">
        <v>23</v>
      </c>
      <c r="I899" s="1" t="s">
        <v>1756</v>
      </c>
      <c r="J899" s="7">
        <v>1</v>
      </c>
      <c r="K899" s="7">
        <v>2024</v>
      </c>
      <c r="L899" s="3">
        <v>105861.23</v>
      </c>
      <c r="M899" s="9" t="s">
        <v>1960</v>
      </c>
      <c r="N899" s="2" t="s">
        <v>1842</v>
      </c>
      <c r="O899" s="3">
        <v>9967331166</v>
      </c>
      <c r="P899" t="s">
        <v>20</v>
      </c>
      <c r="Q899">
        <v>3</v>
      </c>
      <c r="R899" t="s">
        <v>1962</v>
      </c>
    </row>
    <row r="900" spans="1:18" x14ac:dyDescent="0.35">
      <c r="A900" t="s">
        <v>929</v>
      </c>
      <c r="B900" t="s">
        <v>40</v>
      </c>
      <c r="C900" t="s">
        <v>10</v>
      </c>
      <c r="D900" t="s">
        <v>1952</v>
      </c>
      <c r="E900" s="3">
        <v>40</v>
      </c>
      <c r="F900" t="s">
        <v>1817</v>
      </c>
      <c r="G900" t="s">
        <v>1816</v>
      </c>
      <c r="H900" t="s">
        <v>19</v>
      </c>
      <c r="I900" s="1" t="s">
        <v>1266</v>
      </c>
      <c r="J900" s="7">
        <v>1</v>
      </c>
      <c r="K900" s="7">
        <v>2024</v>
      </c>
      <c r="L900" s="3">
        <v>50869.61</v>
      </c>
      <c r="M900" s="9" t="s">
        <v>1958</v>
      </c>
      <c r="N900" s="2" t="s">
        <v>1887</v>
      </c>
      <c r="O900" s="3">
        <v>7269608436</v>
      </c>
      <c r="P900" t="s">
        <v>12</v>
      </c>
      <c r="Q900">
        <v>2</v>
      </c>
      <c r="R900" t="s">
        <v>1962</v>
      </c>
    </row>
    <row r="901" spans="1:18" x14ac:dyDescent="0.35">
      <c r="A901" t="s">
        <v>930</v>
      </c>
      <c r="B901" t="s">
        <v>37</v>
      </c>
      <c r="C901" t="s">
        <v>26</v>
      </c>
      <c r="D901" t="s">
        <v>1902</v>
      </c>
      <c r="E901" s="3">
        <v>30</v>
      </c>
      <c r="F901" t="s">
        <v>1823</v>
      </c>
      <c r="G901" t="s">
        <v>1814</v>
      </c>
      <c r="H901" t="s">
        <v>11</v>
      </c>
      <c r="I901" s="1" t="s">
        <v>1564</v>
      </c>
      <c r="J901" s="7">
        <v>2</v>
      </c>
      <c r="K901" s="7">
        <v>2023</v>
      </c>
      <c r="L901" s="3">
        <v>0</v>
      </c>
      <c r="M901" s="9" t="s">
        <v>1958</v>
      </c>
      <c r="N901" s="2" t="s">
        <v>1837</v>
      </c>
      <c r="O901" s="3">
        <v>6855078966</v>
      </c>
      <c r="P901" t="s">
        <v>15</v>
      </c>
      <c r="Q901">
        <v>4</v>
      </c>
      <c r="R901" t="s">
        <v>1962</v>
      </c>
    </row>
    <row r="902" spans="1:18" x14ac:dyDescent="0.35">
      <c r="A902" t="s">
        <v>931</v>
      </c>
      <c r="B902" t="s">
        <v>22</v>
      </c>
      <c r="C902" t="s">
        <v>18</v>
      </c>
      <c r="D902" t="s">
        <v>1945</v>
      </c>
      <c r="E902" s="3">
        <v>30</v>
      </c>
      <c r="F902" t="s">
        <v>1813</v>
      </c>
      <c r="G902" t="s">
        <v>1820</v>
      </c>
      <c r="H902" t="s">
        <v>19</v>
      </c>
      <c r="I902" s="1" t="s">
        <v>1191</v>
      </c>
      <c r="J902" s="7">
        <v>1</v>
      </c>
      <c r="K902" s="7">
        <v>2024</v>
      </c>
      <c r="L902" s="3">
        <v>90856.21</v>
      </c>
      <c r="M902" s="9" t="s">
        <v>1960</v>
      </c>
      <c r="N902" s="2" t="s">
        <v>1880</v>
      </c>
      <c r="O902" s="3">
        <v>9352196262</v>
      </c>
      <c r="P902" t="s">
        <v>12</v>
      </c>
      <c r="Q902">
        <v>2</v>
      </c>
      <c r="R902" t="s">
        <v>1962</v>
      </c>
    </row>
    <row r="903" spans="1:18" x14ac:dyDescent="0.35">
      <c r="A903" t="s">
        <v>932</v>
      </c>
      <c r="B903" t="s">
        <v>40</v>
      </c>
      <c r="C903" t="s">
        <v>14</v>
      </c>
      <c r="D903" t="s">
        <v>1953</v>
      </c>
      <c r="E903" s="3">
        <v>30</v>
      </c>
      <c r="F903" t="s">
        <v>1813</v>
      </c>
      <c r="G903" t="s">
        <v>1820</v>
      </c>
      <c r="H903" t="s">
        <v>11</v>
      </c>
      <c r="I903" s="1" t="s">
        <v>1206</v>
      </c>
      <c r="J903" s="7">
        <v>1</v>
      </c>
      <c r="K903" s="7">
        <v>2024</v>
      </c>
      <c r="L903" s="3">
        <v>111008.63</v>
      </c>
      <c r="M903" s="9" t="s">
        <v>1960</v>
      </c>
      <c r="N903" s="2" t="s">
        <v>1888</v>
      </c>
      <c r="O903" s="3">
        <v>3556434368</v>
      </c>
      <c r="P903" t="s">
        <v>15</v>
      </c>
      <c r="Q903">
        <v>4</v>
      </c>
      <c r="R903" t="s">
        <v>1962</v>
      </c>
    </row>
    <row r="904" spans="1:18" x14ac:dyDescent="0.35">
      <c r="A904" t="s">
        <v>933</v>
      </c>
      <c r="B904" t="s">
        <v>17</v>
      </c>
      <c r="C904" t="s">
        <v>50</v>
      </c>
      <c r="D904" t="s">
        <v>1929</v>
      </c>
      <c r="E904" s="3">
        <v>25</v>
      </c>
      <c r="F904" t="s">
        <v>1815</v>
      </c>
      <c r="G904" t="s">
        <v>1818</v>
      </c>
      <c r="H904" t="s">
        <v>23</v>
      </c>
      <c r="I904" s="1" t="s">
        <v>1116</v>
      </c>
      <c r="J904" s="7">
        <v>2</v>
      </c>
      <c r="K904" s="7">
        <v>2022</v>
      </c>
      <c r="L904" s="3">
        <v>52289.99</v>
      </c>
      <c r="M904" s="9" t="s">
        <v>1958</v>
      </c>
      <c r="N904" s="2" t="s">
        <v>1864</v>
      </c>
      <c r="O904" s="3">
        <v>7093170694</v>
      </c>
      <c r="P904" t="s">
        <v>27</v>
      </c>
      <c r="Q904">
        <v>1</v>
      </c>
      <c r="R904" t="s">
        <v>1962</v>
      </c>
    </row>
    <row r="905" spans="1:18" x14ac:dyDescent="0.35">
      <c r="A905" t="s">
        <v>934</v>
      </c>
      <c r="B905" t="s">
        <v>22</v>
      </c>
      <c r="C905" t="s">
        <v>10</v>
      </c>
      <c r="D905" t="s">
        <v>1895</v>
      </c>
      <c r="E905" s="3">
        <v>30</v>
      </c>
      <c r="F905" t="s">
        <v>1821</v>
      </c>
      <c r="G905" t="s">
        <v>1824</v>
      </c>
      <c r="H905" t="s">
        <v>11</v>
      </c>
      <c r="I905" s="1" t="s">
        <v>1757</v>
      </c>
      <c r="J905" s="7">
        <v>1</v>
      </c>
      <c r="K905" s="7">
        <v>2024</v>
      </c>
      <c r="L905" s="3">
        <v>97926.56</v>
      </c>
      <c r="M905" s="9" t="s">
        <v>1960</v>
      </c>
      <c r="N905" s="2" t="s">
        <v>1830</v>
      </c>
      <c r="O905" s="3">
        <v>5607676163</v>
      </c>
      <c r="P905" t="s">
        <v>12</v>
      </c>
      <c r="Q905">
        <v>2</v>
      </c>
      <c r="R905" t="s">
        <v>1962</v>
      </c>
    </row>
    <row r="906" spans="1:18" x14ac:dyDescent="0.35">
      <c r="A906" t="s">
        <v>935</v>
      </c>
      <c r="B906" t="s">
        <v>25</v>
      </c>
      <c r="C906" t="s">
        <v>26</v>
      </c>
      <c r="D906" t="s">
        <v>1896</v>
      </c>
      <c r="E906" s="3">
        <v>25</v>
      </c>
      <c r="F906" t="s">
        <v>1821</v>
      </c>
      <c r="G906" t="s">
        <v>1818</v>
      </c>
      <c r="H906" t="s">
        <v>23</v>
      </c>
      <c r="I906" s="1" t="s">
        <v>1758</v>
      </c>
      <c r="J906" s="7">
        <v>0</v>
      </c>
      <c r="K906" s="7">
        <v>2024</v>
      </c>
      <c r="L906" s="3">
        <v>53609.38</v>
      </c>
      <c r="M906" s="9" t="s">
        <v>1958</v>
      </c>
      <c r="N906" s="2" t="s">
        <v>1831</v>
      </c>
      <c r="O906" s="3">
        <v>5345472238</v>
      </c>
      <c r="P906" t="s">
        <v>20</v>
      </c>
      <c r="Q906">
        <v>3</v>
      </c>
      <c r="R906" t="s">
        <v>1963</v>
      </c>
    </row>
    <row r="907" spans="1:18" x14ac:dyDescent="0.35">
      <c r="A907" t="s">
        <v>936</v>
      </c>
      <c r="B907" t="s">
        <v>40</v>
      </c>
      <c r="C907" t="s">
        <v>35</v>
      </c>
      <c r="D907" t="s">
        <v>1915</v>
      </c>
      <c r="E907" s="3">
        <v>30</v>
      </c>
      <c r="F907" t="s">
        <v>1819</v>
      </c>
      <c r="G907" t="s">
        <v>1814</v>
      </c>
      <c r="H907" t="s">
        <v>23</v>
      </c>
      <c r="I907" s="1" t="s">
        <v>1319</v>
      </c>
      <c r="J907" s="7">
        <v>4</v>
      </c>
      <c r="K907" s="7">
        <v>2020</v>
      </c>
      <c r="L907" s="3">
        <v>95372.09</v>
      </c>
      <c r="M907" s="9" t="s">
        <v>1960</v>
      </c>
      <c r="N907" s="2" t="s">
        <v>1850</v>
      </c>
      <c r="O907" s="3">
        <v>8983065030</v>
      </c>
      <c r="P907" t="s">
        <v>15</v>
      </c>
      <c r="Q907">
        <v>4</v>
      </c>
      <c r="R907" t="s">
        <v>1963</v>
      </c>
    </row>
    <row r="908" spans="1:18" x14ac:dyDescent="0.35">
      <c r="A908" t="s">
        <v>937</v>
      </c>
      <c r="B908" t="s">
        <v>37</v>
      </c>
      <c r="C908" t="s">
        <v>35</v>
      </c>
      <c r="D908" t="s">
        <v>1937</v>
      </c>
      <c r="E908" s="3">
        <v>30</v>
      </c>
      <c r="F908" t="s">
        <v>1823</v>
      </c>
      <c r="G908" t="s">
        <v>1822</v>
      </c>
      <c r="H908" t="s">
        <v>19</v>
      </c>
      <c r="I908" s="1" t="s">
        <v>1578</v>
      </c>
      <c r="J908" s="7">
        <v>5</v>
      </c>
      <c r="K908" s="7">
        <v>2020</v>
      </c>
      <c r="L908" s="3">
        <v>95432.69</v>
      </c>
      <c r="M908" s="9" t="s">
        <v>1960</v>
      </c>
      <c r="N908" s="2" t="s">
        <v>1872</v>
      </c>
      <c r="O908" s="3">
        <v>2198041846</v>
      </c>
      <c r="P908" t="s">
        <v>15</v>
      </c>
      <c r="Q908">
        <v>4</v>
      </c>
      <c r="R908" t="s">
        <v>1962</v>
      </c>
    </row>
    <row r="909" spans="1:18" x14ac:dyDescent="0.35">
      <c r="A909" t="s">
        <v>938</v>
      </c>
      <c r="B909" t="s">
        <v>37</v>
      </c>
      <c r="C909" t="s">
        <v>26</v>
      </c>
      <c r="D909" t="s">
        <v>1902</v>
      </c>
      <c r="E909" s="3">
        <v>30</v>
      </c>
      <c r="F909" t="s">
        <v>1823</v>
      </c>
      <c r="G909" t="s">
        <v>1814</v>
      </c>
      <c r="H909" t="s">
        <v>23</v>
      </c>
      <c r="I909" s="1" t="s">
        <v>1759</v>
      </c>
      <c r="J909" s="7">
        <v>3</v>
      </c>
      <c r="K909" s="7">
        <v>2022</v>
      </c>
      <c r="L909" s="3">
        <v>97615.87</v>
      </c>
      <c r="M909" s="9" t="s">
        <v>1960</v>
      </c>
      <c r="N909" s="2" t="s">
        <v>1837</v>
      </c>
      <c r="O909" s="3">
        <v>2426423641</v>
      </c>
      <c r="P909" t="s">
        <v>12</v>
      </c>
      <c r="Q909">
        <v>2</v>
      </c>
      <c r="R909" t="s">
        <v>1963</v>
      </c>
    </row>
    <row r="910" spans="1:18" x14ac:dyDescent="0.35">
      <c r="A910" t="s">
        <v>939</v>
      </c>
      <c r="B910" t="s">
        <v>9</v>
      </c>
      <c r="C910" t="s">
        <v>10</v>
      </c>
      <c r="D910" t="s">
        <v>1892</v>
      </c>
      <c r="E910" s="3">
        <v>35</v>
      </c>
      <c r="F910" t="s">
        <v>1823</v>
      </c>
      <c r="G910" t="s">
        <v>1820</v>
      </c>
      <c r="H910" t="s">
        <v>23</v>
      </c>
      <c r="I910" s="1" t="s">
        <v>1425</v>
      </c>
      <c r="J910" s="7">
        <v>3</v>
      </c>
      <c r="K910" s="7">
        <v>2022</v>
      </c>
      <c r="L910" s="3">
        <v>86867.78</v>
      </c>
      <c r="M910" s="9" t="s">
        <v>1960</v>
      </c>
      <c r="N910" s="2" t="s">
        <v>1827</v>
      </c>
      <c r="O910" s="3">
        <v>8131909247</v>
      </c>
      <c r="P910" t="s">
        <v>27</v>
      </c>
      <c r="Q910">
        <v>1</v>
      </c>
      <c r="R910" t="s">
        <v>1963</v>
      </c>
    </row>
    <row r="911" spans="1:18" x14ac:dyDescent="0.35">
      <c r="A911" t="s">
        <v>940</v>
      </c>
      <c r="B911" t="s">
        <v>22</v>
      </c>
      <c r="C911" t="s">
        <v>50</v>
      </c>
      <c r="D911" t="s">
        <v>1943</v>
      </c>
      <c r="E911" s="3">
        <v>40</v>
      </c>
      <c r="F911" t="s">
        <v>1821</v>
      </c>
      <c r="G911" t="s">
        <v>1814</v>
      </c>
      <c r="H911" t="s">
        <v>19</v>
      </c>
      <c r="I911" s="1" t="s">
        <v>1760</v>
      </c>
      <c r="J911" s="7">
        <v>2</v>
      </c>
      <c r="K911" s="7">
        <v>2023</v>
      </c>
      <c r="L911" s="3">
        <v>106615.71</v>
      </c>
      <c r="M911" s="9" t="s">
        <v>1960</v>
      </c>
      <c r="N911" s="2" t="s">
        <v>1878</v>
      </c>
      <c r="O911" s="3">
        <v>7623039110</v>
      </c>
      <c r="P911" t="s">
        <v>12</v>
      </c>
      <c r="Q911">
        <v>2</v>
      </c>
      <c r="R911" t="s">
        <v>1963</v>
      </c>
    </row>
    <row r="912" spans="1:18" x14ac:dyDescent="0.35">
      <c r="A912" t="s">
        <v>941</v>
      </c>
      <c r="B912" t="s">
        <v>9</v>
      </c>
      <c r="C912" t="s">
        <v>26</v>
      </c>
      <c r="D912" t="s">
        <v>1924</v>
      </c>
      <c r="E912" s="3">
        <v>30</v>
      </c>
      <c r="F912" t="s">
        <v>1815</v>
      </c>
      <c r="G912" t="s">
        <v>1816</v>
      </c>
      <c r="H912" t="s">
        <v>11</v>
      </c>
      <c r="I912" s="1" t="s">
        <v>1761</v>
      </c>
      <c r="J912" s="7">
        <v>3</v>
      </c>
      <c r="K912" s="7">
        <v>2022</v>
      </c>
      <c r="L912" s="3">
        <v>112856.21</v>
      </c>
      <c r="M912" s="9" t="s">
        <v>1960</v>
      </c>
      <c r="N912" s="2" t="s">
        <v>1859</v>
      </c>
      <c r="O912" s="3">
        <v>4281785227</v>
      </c>
      <c r="P912" t="s">
        <v>27</v>
      </c>
      <c r="Q912">
        <v>1</v>
      </c>
      <c r="R912" t="s">
        <v>1963</v>
      </c>
    </row>
    <row r="913" spans="1:18" x14ac:dyDescent="0.35">
      <c r="A913" t="s">
        <v>942</v>
      </c>
      <c r="B913" t="s">
        <v>9</v>
      </c>
      <c r="C913" t="s">
        <v>18</v>
      </c>
      <c r="D913" t="s">
        <v>1899</v>
      </c>
      <c r="E913" s="3">
        <v>25</v>
      </c>
      <c r="F913" t="s">
        <v>1817</v>
      </c>
      <c r="G913" t="s">
        <v>1814</v>
      </c>
      <c r="H913" t="s">
        <v>11</v>
      </c>
      <c r="I913" s="1" t="s">
        <v>1638</v>
      </c>
      <c r="J913" s="7">
        <v>1</v>
      </c>
      <c r="K913" s="7">
        <v>2023</v>
      </c>
      <c r="L913" s="3">
        <v>60356.78</v>
      </c>
      <c r="M913" s="9" t="s">
        <v>1959</v>
      </c>
      <c r="N913" s="2" t="s">
        <v>1834</v>
      </c>
      <c r="O913" s="3">
        <v>2305248087</v>
      </c>
      <c r="P913" t="s">
        <v>27</v>
      </c>
      <c r="Q913">
        <v>1</v>
      </c>
      <c r="R913" t="s">
        <v>1962</v>
      </c>
    </row>
    <row r="914" spans="1:18" x14ac:dyDescent="0.35">
      <c r="A914" t="s">
        <v>943</v>
      </c>
      <c r="B914" t="s">
        <v>37</v>
      </c>
      <c r="C914" t="s">
        <v>18</v>
      </c>
      <c r="D914" t="s">
        <v>1941</v>
      </c>
      <c r="E914" s="3">
        <v>30</v>
      </c>
      <c r="F914" t="s">
        <v>1813</v>
      </c>
      <c r="G914" t="s">
        <v>1816</v>
      </c>
      <c r="H914" t="s">
        <v>23</v>
      </c>
      <c r="I914" s="1" t="s">
        <v>1762</v>
      </c>
      <c r="J914" s="7">
        <v>3</v>
      </c>
      <c r="K914" s="7">
        <v>2022</v>
      </c>
      <c r="L914" s="3">
        <v>117870.22</v>
      </c>
      <c r="M914" s="9" t="s">
        <v>1960</v>
      </c>
      <c r="N914" s="2" t="s">
        <v>1876</v>
      </c>
      <c r="O914" s="3">
        <v>622072238</v>
      </c>
      <c r="P914" t="s">
        <v>15</v>
      </c>
      <c r="Q914">
        <v>4</v>
      </c>
      <c r="R914" t="s">
        <v>1963</v>
      </c>
    </row>
    <row r="915" spans="1:18" x14ac:dyDescent="0.35">
      <c r="A915" t="s">
        <v>944</v>
      </c>
      <c r="B915" t="s">
        <v>34</v>
      </c>
      <c r="C915" t="s">
        <v>35</v>
      </c>
      <c r="D915" t="s">
        <v>1901</v>
      </c>
      <c r="E915" s="3">
        <v>40</v>
      </c>
      <c r="F915" t="s">
        <v>1823</v>
      </c>
      <c r="G915" t="s">
        <v>1820</v>
      </c>
      <c r="H915" t="s">
        <v>23</v>
      </c>
      <c r="I915" s="1" t="s">
        <v>1763</v>
      </c>
      <c r="J915" s="7">
        <v>1</v>
      </c>
      <c r="K915" s="7">
        <v>2024</v>
      </c>
      <c r="L915" s="3">
        <v>95127.91</v>
      </c>
      <c r="M915" s="9" t="s">
        <v>1960</v>
      </c>
      <c r="N915" s="2" t="s">
        <v>1836</v>
      </c>
      <c r="O915" s="3">
        <v>5947372131</v>
      </c>
      <c r="P915" t="s">
        <v>12</v>
      </c>
      <c r="Q915">
        <v>2</v>
      </c>
      <c r="R915" t="s">
        <v>1963</v>
      </c>
    </row>
    <row r="916" spans="1:18" x14ac:dyDescent="0.35">
      <c r="A916" t="s">
        <v>945</v>
      </c>
      <c r="B916" t="s">
        <v>9</v>
      </c>
      <c r="C916" t="s">
        <v>14</v>
      </c>
      <c r="D916" t="s">
        <v>1893</v>
      </c>
      <c r="E916" s="3">
        <v>25</v>
      </c>
      <c r="F916" t="s">
        <v>1817</v>
      </c>
      <c r="G916" t="s">
        <v>1824</v>
      </c>
      <c r="H916" t="s">
        <v>19</v>
      </c>
      <c r="I916" s="1" t="s">
        <v>1764</v>
      </c>
      <c r="J916" s="7">
        <v>4</v>
      </c>
      <c r="K916" s="7">
        <v>2021</v>
      </c>
      <c r="L916" s="3">
        <v>78818.42</v>
      </c>
      <c r="M916" s="9" t="s">
        <v>1959</v>
      </c>
      <c r="N916" s="2" t="s">
        <v>1828</v>
      </c>
      <c r="O916" s="3">
        <v>9016204786</v>
      </c>
      <c r="P916" t="s">
        <v>12</v>
      </c>
      <c r="Q916">
        <v>2</v>
      </c>
      <c r="R916" t="s">
        <v>1963</v>
      </c>
    </row>
    <row r="917" spans="1:18" x14ac:dyDescent="0.35">
      <c r="A917" t="s">
        <v>946</v>
      </c>
      <c r="B917" t="s">
        <v>25</v>
      </c>
      <c r="C917" t="s">
        <v>50</v>
      </c>
      <c r="D917" t="s">
        <v>1914</v>
      </c>
      <c r="E917" s="3">
        <v>40</v>
      </c>
      <c r="F917" t="s">
        <v>1821</v>
      </c>
      <c r="G917" t="s">
        <v>1818</v>
      </c>
      <c r="H917" t="s">
        <v>19</v>
      </c>
      <c r="I917" s="1" t="s">
        <v>1765</v>
      </c>
      <c r="J917" s="7">
        <v>2</v>
      </c>
      <c r="K917" s="7">
        <v>2022</v>
      </c>
      <c r="L917" s="3">
        <v>108933.55</v>
      </c>
      <c r="M917" s="9" t="s">
        <v>1960</v>
      </c>
      <c r="N917" s="2" t="s">
        <v>1849</v>
      </c>
      <c r="O917" s="3">
        <v>6886878598</v>
      </c>
      <c r="P917" t="s">
        <v>27</v>
      </c>
      <c r="Q917">
        <v>1</v>
      </c>
      <c r="R917" t="s">
        <v>1962</v>
      </c>
    </row>
    <row r="918" spans="1:18" x14ac:dyDescent="0.35">
      <c r="A918" t="s">
        <v>947</v>
      </c>
      <c r="B918" t="s">
        <v>22</v>
      </c>
      <c r="C918" t="s">
        <v>35</v>
      </c>
      <c r="D918" t="s">
        <v>1948</v>
      </c>
      <c r="E918" s="3">
        <v>30</v>
      </c>
      <c r="F918" t="s">
        <v>1817</v>
      </c>
      <c r="G918" t="s">
        <v>1814</v>
      </c>
      <c r="H918" t="s">
        <v>11</v>
      </c>
      <c r="I918" s="1" t="s">
        <v>1242</v>
      </c>
      <c r="J918" s="7">
        <v>1</v>
      </c>
      <c r="K918" s="7">
        <v>2024</v>
      </c>
      <c r="L918" s="3">
        <v>68200.52</v>
      </c>
      <c r="M918" s="9" t="s">
        <v>1959</v>
      </c>
      <c r="N918" s="2" t="s">
        <v>1883</v>
      </c>
      <c r="O918" s="3">
        <v>6486287202</v>
      </c>
      <c r="P918" t="s">
        <v>12</v>
      </c>
      <c r="Q918">
        <v>2</v>
      </c>
      <c r="R918" t="s">
        <v>1962</v>
      </c>
    </row>
    <row r="919" spans="1:18" x14ac:dyDescent="0.35">
      <c r="A919" t="s">
        <v>948</v>
      </c>
      <c r="B919" t="s">
        <v>22</v>
      </c>
      <c r="C919" t="s">
        <v>14</v>
      </c>
      <c r="D919" t="s">
        <v>1927</v>
      </c>
      <c r="E919" s="3">
        <v>25</v>
      </c>
      <c r="F919" t="s">
        <v>1817</v>
      </c>
      <c r="G919" t="s">
        <v>1814</v>
      </c>
      <c r="H919" t="s">
        <v>23</v>
      </c>
      <c r="I919" s="1" t="s">
        <v>1766</v>
      </c>
      <c r="J919" s="7">
        <v>3</v>
      </c>
      <c r="K919" s="7">
        <v>2022</v>
      </c>
      <c r="L919" s="3">
        <v>116934.97</v>
      </c>
      <c r="M919" s="9" t="s">
        <v>1960</v>
      </c>
      <c r="N919" s="2" t="s">
        <v>1862</v>
      </c>
      <c r="O919" s="3">
        <v>1954196663</v>
      </c>
      <c r="P919" t="s">
        <v>20</v>
      </c>
      <c r="Q919">
        <v>3</v>
      </c>
      <c r="R919" t="s">
        <v>1962</v>
      </c>
    </row>
    <row r="920" spans="1:18" x14ac:dyDescent="0.35">
      <c r="A920" t="s">
        <v>949</v>
      </c>
      <c r="B920" t="s">
        <v>34</v>
      </c>
      <c r="C920" t="s">
        <v>14</v>
      </c>
      <c r="D920" t="s">
        <v>1918</v>
      </c>
      <c r="E920" s="3">
        <v>30</v>
      </c>
      <c r="F920" t="s">
        <v>1823</v>
      </c>
      <c r="G920" t="s">
        <v>1822</v>
      </c>
      <c r="H920" t="s">
        <v>11</v>
      </c>
      <c r="I920" s="1" t="s">
        <v>1454</v>
      </c>
      <c r="J920" s="7">
        <v>1</v>
      </c>
      <c r="K920" s="7">
        <v>2024</v>
      </c>
      <c r="L920" s="3">
        <v>99567.78</v>
      </c>
      <c r="M920" s="9" t="s">
        <v>1960</v>
      </c>
      <c r="N920" s="2" t="s">
        <v>1853</v>
      </c>
      <c r="O920" s="3">
        <v>5057303626</v>
      </c>
      <c r="P920" t="s">
        <v>20</v>
      </c>
      <c r="Q920">
        <v>3</v>
      </c>
      <c r="R920" t="s">
        <v>1962</v>
      </c>
    </row>
    <row r="921" spans="1:18" x14ac:dyDescent="0.35">
      <c r="A921" t="s">
        <v>950</v>
      </c>
      <c r="B921" t="s">
        <v>34</v>
      </c>
      <c r="C921" t="s">
        <v>29</v>
      </c>
      <c r="D921" t="s">
        <v>1909</v>
      </c>
      <c r="E921" s="3">
        <v>30</v>
      </c>
      <c r="F921" t="s">
        <v>1817</v>
      </c>
      <c r="G921" t="s">
        <v>1816</v>
      </c>
      <c r="H921" t="s">
        <v>11</v>
      </c>
      <c r="I921" s="1" t="s">
        <v>1767</v>
      </c>
      <c r="J921" s="7">
        <v>4</v>
      </c>
      <c r="K921" s="7">
        <v>2021</v>
      </c>
      <c r="L921" s="3">
        <v>90216.76</v>
      </c>
      <c r="M921" s="9" t="s">
        <v>1960</v>
      </c>
      <c r="N921" s="2" t="s">
        <v>1844</v>
      </c>
      <c r="O921" s="3">
        <v>9246320373</v>
      </c>
      <c r="P921" t="s">
        <v>12</v>
      </c>
      <c r="Q921">
        <v>2</v>
      </c>
      <c r="R921" t="s">
        <v>1962</v>
      </c>
    </row>
    <row r="922" spans="1:18" x14ac:dyDescent="0.35">
      <c r="A922" t="s">
        <v>951</v>
      </c>
      <c r="B922" t="s">
        <v>25</v>
      </c>
      <c r="C922" t="s">
        <v>18</v>
      </c>
      <c r="D922" t="s">
        <v>1898</v>
      </c>
      <c r="E922" s="3">
        <v>30</v>
      </c>
      <c r="F922" t="s">
        <v>1817</v>
      </c>
      <c r="G922" t="s">
        <v>1824</v>
      </c>
      <c r="H922" t="s">
        <v>19</v>
      </c>
      <c r="I922" s="1" t="s">
        <v>1768</v>
      </c>
      <c r="J922" s="7">
        <v>4</v>
      </c>
      <c r="K922" s="7">
        <v>2020</v>
      </c>
      <c r="L922" s="3">
        <v>96588.73</v>
      </c>
      <c r="M922" s="9" t="s">
        <v>1960</v>
      </c>
      <c r="N922" s="2" t="s">
        <v>1833</v>
      </c>
      <c r="O922" s="3">
        <v>7677537259</v>
      </c>
      <c r="P922" t="s">
        <v>12</v>
      </c>
      <c r="Q922">
        <v>2</v>
      </c>
      <c r="R922" t="s">
        <v>1962</v>
      </c>
    </row>
    <row r="923" spans="1:18" x14ac:dyDescent="0.35">
      <c r="A923" t="s">
        <v>952</v>
      </c>
      <c r="B923" t="s">
        <v>34</v>
      </c>
      <c r="C923" t="s">
        <v>10</v>
      </c>
      <c r="D923" t="s">
        <v>1931</v>
      </c>
      <c r="E923" s="3">
        <v>35</v>
      </c>
      <c r="F923" t="s">
        <v>1815</v>
      </c>
      <c r="G923" t="s">
        <v>1824</v>
      </c>
      <c r="H923" t="s">
        <v>11</v>
      </c>
      <c r="I923" s="1" t="s">
        <v>1288</v>
      </c>
      <c r="J923" s="7">
        <v>2</v>
      </c>
      <c r="K923" s="7">
        <v>2022</v>
      </c>
      <c r="L923" s="3">
        <v>71109.179999999993</v>
      </c>
      <c r="M923" s="9" t="s">
        <v>1959</v>
      </c>
      <c r="N923" s="2" t="s">
        <v>1866</v>
      </c>
      <c r="O923" s="3">
        <v>3214505765</v>
      </c>
      <c r="P923" t="s">
        <v>27</v>
      </c>
      <c r="Q923">
        <v>1</v>
      </c>
      <c r="R923" t="s">
        <v>1962</v>
      </c>
    </row>
    <row r="924" spans="1:18" x14ac:dyDescent="0.35">
      <c r="A924" t="s">
        <v>953</v>
      </c>
      <c r="B924" t="s">
        <v>42</v>
      </c>
      <c r="C924" t="s">
        <v>62</v>
      </c>
      <c r="D924" t="s">
        <v>1921</v>
      </c>
      <c r="E924" s="3">
        <v>40</v>
      </c>
      <c r="F924" t="s">
        <v>1817</v>
      </c>
      <c r="G924" t="s">
        <v>1820</v>
      </c>
      <c r="H924" t="s">
        <v>23</v>
      </c>
      <c r="I924" s="1" t="s">
        <v>1602</v>
      </c>
      <c r="J924" s="7">
        <v>5</v>
      </c>
      <c r="K924" s="7">
        <v>2020</v>
      </c>
      <c r="L924" s="3">
        <v>50300.6</v>
      </c>
      <c r="M924" s="9" t="s">
        <v>1958</v>
      </c>
      <c r="N924" s="2" t="s">
        <v>1856</v>
      </c>
      <c r="O924" s="3">
        <v>1945887070</v>
      </c>
      <c r="P924" t="s">
        <v>20</v>
      </c>
      <c r="Q924">
        <v>3</v>
      </c>
      <c r="R924" t="s">
        <v>1963</v>
      </c>
    </row>
    <row r="925" spans="1:18" x14ac:dyDescent="0.35">
      <c r="A925" t="s">
        <v>954</v>
      </c>
      <c r="B925" t="s">
        <v>25</v>
      </c>
      <c r="C925" t="s">
        <v>10</v>
      </c>
      <c r="D925" t="s">
        <v>1900</v>
      </c>
      <c r="E925" s="3">
        <v>35</v>
      </c>
      <c r="F925" t="s">
        <v>1815</v>
      </c>
      <c r="G925" t="s">
        <v>1814</v>
      </c>
      <c r="H925" t="s">
        <v>19</v>
      </c>
      <c r="I925" s="1" t="s">
        <v>1098</v>
      </c>
      <c r="J925" s="7">
        <v>2</v>
      </c>
      <c r="K925" s="7">
        <v>2023</v>
      </c>
      <c r="L925" s="3">
        <v>60295.839999999997</v>
      </c>
      <c r="M925" s="9" t="s">
        <v>1959</v>
      </c>
      <c r="N925" s="2" t="s">
        <v>1835</v>
      </c>
      <c r="O925" s="3">
        <v>5534820127</v>
      </c>
      <c r="P925" t="s">
        <v>20</v>
      </c>
      <c r="Q925">
        <v>3</v>
      </c>
      <c r="R925" t="s">
        <v>1963</v>
      </c>
    </row>
    <row r="926" spans="1:18" x14ac:dyDescent="0.35">
      <c r="A926" t="s">
        <v>955</v>
      </c>
      <c r="B926" t="s">
        <v>40</v>
      </c>
      <c r="C926" t="s">
        <v>62</v>
      </c>
      <c r="D926" t="s">
        <v>1951</v>
      </c>
      <c r="E926" s="3">
        <v>35</v>
      </c>
      <c r="F926" t="s">
        <v>1813</v>
      </c>
      <c r="G926" t="s">
        <v>1816</v>
      </c>
      <c r="H926" t="s">
        <v>19</v>
      </c>
      <c r="I926" s="1" t="s">
        <v>1769</v>
      </c>
      <c r="J926" s="7">
        <v>3</v>
      </c>
      <c r="K926" s="7">
        <v>2022</v>
      </c>
      <c r="L926" s="3">
        <v>113012.21</v>
      </c>
      <c r="M926" s="9" t="s">
        <v>1960</v>
      </c>
      <c r="N926" s="2" t="s">
        <v>1886</v>
      </c>
      <c r="O926" s="3">
        <v>4008385075</v>
      </c>
      <c r="P926" t="s">
        <v>15</v>
      </c>
      <c r="Q926">
        <v>4</v>
      </c>
      <c r="R926" t="s">
        <v>1963</v>
      </c>
    </row>
    <row r="927" spans="1:18" x14ac:dyDescent="0.35">
      <c r="A927" t="s">
        <v>956</v>
      </c>
      <c r="B927" t="s">
        <v>9</v>
      </c>
      <c r="C927" t="s">
        <v>26</v>
      </c>
      <c r="D927" t="s">
        <v>1924</v>
      </c>
      <c r="E927" s="3">
        <v>35</v>
      </c>
      <c r="F927" t="s">
        <v>1819</v>
      </c>
      <c r="G927" t="s">
        <v>1820</v>
      </c>
      <c r="H927" t="s">
        <v>19</v>
      </c>
      <c r="I927" s="1" t="s">
        <v>1739</v>
      </c>
      <c r="J927" s="7">
        <v>1</v>
      </c>
      <c r="K927" s="7">
        <v>2024</v>
      </c>
      <c r="L927" s="3">
        <v>65425.54</v>
      </c>
      <c r="M927" s="9" t="s">
        <v>1959</v>
      </c>
      <c r="N927" s="2" t="s">
        <v>1859</v>
      </c>
      <c r="O927" s="3">
        <v>5975954507</v>
      </c>
      <c r="P927" t="s">
        <v>27</v>
      </c>
      <c r="Q927">
        <v>1</v>
      </c>
      <c r="R927" t="s">
        <v>1962</v>
      </c>
    </row>
    <row r="928" spans="1:18" x14ac:dyDescent="0.35">
      <c r="A928" t="s">
        <v>957</v>
      </c>
      <c r="B928" t="s">
        <v>25</v>
      </c>
      <c r="C928" t="s">
        <v>18</v>
      </c>
      <c r="D928" t="s">
        <v>1898</v>
      </c>
      <c r="E928" s="3">
        <v>25</v>
      </c>
      <c r="F928" t="s">
        <v>1821</v>
      </c>
      <c r="G928" t="s">
        <v>1818</v>
      </c>
      <c r="H928" t="s">
        <v>11</v>
      </c>
      <c r="I928" s="1" t="s">
        <v>1184</v>
      </c>
      <c r="J928" s="7">
        <v>2</v>
      </c>
      <c r="K928" s="7">
        <v>2023</v>
      </c>
      <c r="L928" s="3">
        <v>86850.37</v>
      </c>
      <c r="M928" s="9" t="s">
        <v>1960</v>
      </c>
      <c r="N928" s="2" t="s">
        <v>1833</v>
      </c>
      <c r="O928" s="3">
        <v>9177680897</v>
      </c>
      <c r="P928" t="s">
        <v>15</v>
      </c>
      <c r="Q928">
        <v>4</v>
      </c>
      <c r="R928" t="s">
        <v>1962</v>
      </c>
    </row>
    <row r="929" spans="1:18" x14ac:dyDescent="0.35">
      <c r="A929" t="s">
        <v>958</v>
      </c>
      <c r="B929" t="s">
        <v>22</v>
      </c>
      <c r="C929" t="s">
        <v>14</v>
      </c>
      <c r="D929" t="s">
        <v>1927</v>
      </c>
      <c r="E929" s="3">
        <v>30</v>
      </c>
      <c r="F929" t="s">
        <v>1819</v>
      </c>
      <c r="G929" t="s">
        <v>1816</v>
      </c>
      <c r="H929" t="s">
        <v>19</v>
      </c>
      <c r="I929" s="1" t="s">
        <v>1770</v>
      </c>
      <c r="J929" s="7">
        <v>1</v>
      </c>
      <c r="K929" s="7">
        <v>2024</v>
      </c>
      <c r="L929" s="3">
        <v>81182.070000000007</v>
      </c>
      <c r="M929" s="9" t="s">
        <v>1959</v>
      </c>
      <c r="N929" s="2" t="s">
        <v>1862</v>
      </c>
      <c r="O929" s="3">
        <v>1265742230</v>
      </c>
      <c r="P929" t="s">
        <v>20</v>
      </c>
      <c r="Q929">
        <v>3</v>
      </c>
      <c r="R929" t="s">
        <v>1962</v>
      </c>
    </row>
    <row r="930" spans="1:18" x14ac:dyDescent="0.35">
      <c r="A930" t="s">
        <v>959</v>
      </c>
      <c r="B930" t="s">
        <v>9</v>
      </c>
      <c r="C930" t="s">
        <v>50</v>
      </c>
      <c r="D930" t="s">
        <v>1911</v>
      </c>
      <c r="E930" s="3">
        <v>30</v>
      </c>
      <c r="F930" t="s">
        <v>1815</v>
      </c>
      <c r="G930" t="s">
        <v>1822</v>
      </c>
      <c r="H930" t="s">
        <v>23</v>
      </c>
      <c r="I930" s="1" t="s">
        <v>1771</v>
      </c>
      <c r="J930" s="7">
        <v>3</v>
      </c>
      <c r="K930" s="7">
        <v>2021</v>
      </c>
      <c r="L930" s="3">
        <v>92222.03</v>
      </c>
      <c r="M930" s="9" t="s">
        <v>1960</v>
      </c>
      <c r="N930" s="2" t="s">
        <v>1846</v>
      </c>
      <c r="O930" s="3">
        <v>9646300401</v>
      </c>
      <c r="P930" t="s">
        <v>27</v>
      </c>
      <c r="Q930">
        <v>1</v>
      </c>
      <c r="R930" t="s">
        <v>1962</v>
      </c>
    </row>
    <row r="931" spans="1:18" x14ac:dyDescent="0.35">
      <c r="A931" t="s">
        <v>960</v>
      </c>
      <c r="B931" t="s">
        <v>17</v>
      </c>
      <c r="C931" t="s">
        <v>62</v>
      </c>
      <c r="D931" t="s">
        <v>1933</v>
      </c>
      <c r="E931" s="3">
        <v>35</v>
      </c>
      <c r="F931" t="s">
        <v>1815</v>
      </c>
      <c r="G931" t="s">
        <v>1822</v>
      </c>
      <c r="H931" t="s">
        <v>19</v>
      </c>
      <c r="I931" s="1" t="s">
        <v>1772</v>
      </c>
      <c r="J931" s="7">
        <v>1</v>
      </c>
      <c r="K931" s="7">
        <v>2024</v>
      </c>
      <c r="L931" s="3">
        <v>79934.83</v>
      </c>
      <c r="M931" s="9" t="s">
        <v>1959</v>
      </c>
      <c r="N931" s="2" t="s">
        <v>1868</v>
      </c>
      <c r="O931" s="3">
        <v>3693626893</v>
      </c>
      <c r="P931" t="s">
        <v>12</v>
      </c>
      <c r="Q931">
        <v>2</v>
      </c>
      <c r="R931" t="s">
        <v>1962</v>
      </c>
    </row>
    <row r="932" spans="1:18" x14ac:dyDescent="0.35">
      <c r="A932" t="s">
        <v>961</v>
      </c>
      <c r="B932" t="s">
        <v>17</v>
      </c>
      <c r="C932" t="s">
        <v>10</v>
      </c>
      <c r="D932" t="s">
        <v>1928</v>
      </c>
      <c r="E932" s="3">
        <v>35</v>
      </c>
      <c r="F932" t="s">
        <v>1823</v>
      </c>
      <c r="G932" t="s">
        <v>1814</v>
      </c>
      <c r="H932" t="s">
        <v>23</v>
      </c>
      <c r="I932" s="1" t="s">
        <v>1773</v>
      </c>
      <c r="J932" s="7">
        <v>3</v>
      </c>
      <c r="K932" s="7">
        <v>2022</v>
      </c>
      <c r="L932" s="3">
        <v>111201.12</v>
      </c>
      <c r="M932" s="9" t="s">
        <v>1960</v>
      </c>
      <c r="N932" s="2" t="s">
        <v>1863</v>
      </c>
      <c r="O932" s="3">
        <v>3012047136</v>
      </c>
      <c r="P932" t="s">
        <v>27</v>
      </c>
      <c r="Q932">
        <v>1</v>
      </c>
      <c r="R932" t="s">
        <v>1963</v>
      </c>
    </row>
    <row r="933" spans="1:18" x14ac:dyDescent="0.35">
      <c r="A933" t="s">
        <v>962</v>
      </c>
      <c r="B933" t="s">
        <v>40</v>
      </c>
      <c r="C933" t="s">
        <v>14</v>
      </c>
      <c r="D933" t="s">
        <v>1953</v>
      </c>
      <c r="E933" s="3">
        <v>40</v>
      </c>
      <c r="F933" t="s">
        <v>1815</v>
      </c>
      <c r="G933" t="s">
        <v>1814</v>
      </c>
      <c r="H933" t="s">
        <v>11</v>
      </c>
      <c r="I933" s="1" t="s">
        <v>1715</v>
      </c>
      <c r="J933" s="7">
        <v>1</v>
      </c>
      <c r="K933" s="7">
        <v>2024</v>
      </c>
      <c r="L933" s="3">
        <v>100960.05</v>
      </c>
      <c r="M933" s="9" t="s">
        <v>1960</v>
      </c>
      <c r="N933" s="2" t="s">
        <v>1888</v>
      </c>
      <c r="O933" s="3">
        <v>2711759573</v>
      </c>
      <c r="P933" t="s">
        <v>12</v>
      </c>
      <c r="Q933">
        <v>2</v>
      </c>
      <c r="R933" t="s">
        <v>1963</v>
      </c>
    </row>
    <row r="934" spans="1:18" x14ac:dyDescent="0.35">
      <c r="A934" t="s">
        <v>963</v>
      </c>
      <c r="B934" t="s">
        <v>42</v>
      </c>
      <c r="C934" t="s">
        <v>62</v>
      </c>
      <c r="D934" t="s">
        <v>1921</v>
      </c>
      <c r="E934" s="3">
        <v>30</v>
      </c>
      <c r="F934" t="s">
        <v>1821</v>
      </c>
      <c r="G934" t="s">
        <v>1824</v>
      </c>
      <c r="H934" t="s">
        <v>11</v>
      </c>
      <c r="I934" s="1" t="s">
        <v>1774</v>
      </c>
      <c r="J934" s="7">
        <v>5</v>
      </c>
      <c r="K934" s="7">
        <v>2020</v>
      </c>
      <c r="L934" s="3">
        <v>64544.87</v>
      </c>
      <c r="M934" s="9" t="s">
        <v>1959</v>
      </c>
      <c r="N934" s="2" t="s">
        <v>1856</v>
      </c>
      <c r="O934" s="3">
        <v>9885582983</v>
      </c>
      <c r="P934" t="s">
        <v>12</v>
      </c>
      <c r="Q934">
        <v>2</v>
      </c>
      <c r="R934" t="s">
        <v>1962</v>
      </c>
    </row>
    <row r="935" spans="1:18" x14ac:dyDescent="0.35">
      <c r="A935" t="s">
        <v>964</v>
      </c>
      <c r="B935" t="s">
        <v>25</v>
      </c>
      <c r="C935" t="s">
        <v>62</v>
      </c>
      <c r="D935" t="s">
        <v>1922</v>
      </c>
      <c r="E935" s="3">
        <v>25</v>
      </c>
      <c r="F935" t="s">
        <v>1821</v>
      </c>
      <c r="G935" t="s">
        <v>1820</v>
      </c>
      <c r="H935" t="s">
        <v>11</v>
      </c>
      <c r="I935" s="1" t="s">
        <v>1775</v>
      </c>
      <c r="J935" s="7">
        <v>5</v>
      </c>
      <c r="K935" s="7">
        <v>2020</v>
      </c>
      <c r="L935" s="3">
        <v>78662.240000000005</v>
      </c>
      <c r="M935" s="9" t="s">
        <v>1959</v>
      </c>
      <c r="N935" s="2" t="s">
        <v>1857</v>
      </c>
      <c r="O935" s="3">
        <v>9330674583</v>
      </c>
      <c r="P935" t="s">
        <v>27</v>
      </c>
      <c r="Q935">
        <v>1</v>
      </c>
      <c r="R935" t="s">
        <v>1962</v>
      </c>
    </row>
    <row r="936" spans="1:18" x14ac:dyDescent="0.35">
      <c r="A936" t="s">
        <v>965</v>
      </c>
      <c r="B936" t="s">
        <v>42</v>
      </c>
      <c r="C936" t="s">
        <v>29</v>
      </c>
      <c r="D936" t="s">
        <v>1908</v>
      </c>
      <c r="E936" s="3">
        <v>30</v>
      </c>
      <c r="F936" t="s">
        <v>1821</v>
      </c>
      <c r="G936" t="s">
        <v>1820</v>
      </c>
      <c r="H936" t="s">
        <v>19</v>
      </c>
      <c r="I936" s="1" t="s">
        <v>1776</v>
      </c>
      <c r="J936" s="7">
        <v>2</v>
      </c>
      <c r="K936" s="7">
        <v>2023</v>
      </c>
      <c r="L936" s="3">
        <v>102867.06</v>
      </c>
      <c r="M936" s="9" t="s">
        <v>1960</v>
      </c>
      <c r="N936" s="2" t="s">
        <v>1843</v>
      </c>
      <c r="O936" s="3">
        <v>7609441282</v>
      </c>
      <c r="P936" t="s">
        <v>12</v>
      </c>
      <c r="Q936">
        <v>2</v>
      </c>
      <c r="R936" t="s">
        <v>1962</v>
      </c>
    </row>
    <row r="937" spans="1:18" x14ac:dyDescent="0.35">
      <c r="A937" t="s">
        <v>966</v>
      </c>
      <c r="B937" t="s">
        <v>34</v>
      </c>
      <c r="C937" t="s">
        <v>62</v>
      </c>
      <c r="D937" t="s">
        <v>1934</v>
      </c>
      <c r="E937" s="3">
        <v>40</v>
      </c>
      <c r="F937" t="s">
        <v>1823</v>
      </c>
      <c r="G937" t="s">
        <v>1824</v>
      </c>
      <c r="H937" t="s">
        <v>23</v>
      </c>
      <c r="I937" s="1" t="s">
        <v>1603</v>
      </c>
      <c r="J937" s="7">
        <v>5</v>
      </c>
      <c r="K937" s="7">
        <v>2020</v>
      </c>
      <c r="L937" s="3">
        <v>107595.95</v>
      </c>
      <c r="M937" s="9" t="s">
        <v>1960</v>
      </c>
      <c r="N937" s="2" t="s">
        <v>1869</v>
      </c>
      <c r="O937" s="3">
        <v>3372188565</v>
      </c>
      <c r="P937" t="s">
        <v>15</v>
      </c>
      <c r="Q937">
        <v>4</v>
      </c>
      <c r="R937" t="s">
        <v>1962</v>
      </c>
    </row>
    <row r="938" spans="1:18" x14ac:dyDescent="0.35">
      <c r="A938" t="s">
        <v>967</v>
      </c>
      <c r="B938" t="s">
        <v>22</v>
      </c>
      <c r="C938" t="s">
        <v>50</v>
      </c>
      <c r="D938" t="s">
        <v>1943</v>
      </c>
      <c r="E938" s="3">
        <v>40</v>
      </c>
      <c r="F938" t="s">
        <v>1821</v>
      </c>
      <c r="G938" t="s">
        <v>1818</v>
      </c>
      <c r="H938" t="s">
        <v>23</v>
      </c>
      <c r="I938" s="1" t="s">
        <v>1777</v>
      </c>
      <c r="J938" s="7">
        <v>4</v>
      </c>
      <c r="K938" s="7">
        <v>2021</v>
      </c>
      <c r="L938" s="3">
        <v>0</v>
      </c>
      <c r="M938" s="9" t="s">
        <v>1958</v>
      </c>
      <c r="N938" s="2" t="s">
        <v>1878</v>
      </c>
      <c r="O938" s="3">
        <v>6954132970</v>
      </c>
      <c r="P938" t="s">
        <v>20</v>
      </c>
      <c r="Q938">
        <v>3</v>
      </c>
      <c r="R938" t="s">
        <v>1963</v>
      </c>
    </row>
    <row r="939" spans="1:18" x14ac:dyDescent="0.35">
      <c r="A939" t="s">
        <v>968</v>
      </c>
      <c r="B939" t="s">
        <v>22</v>
      </c>
      <c r="C939" t="s">
        <v>18</v>
      </c>
      <c r="D939" t="s">
        <v>1945</v>
      </c>
      <c r="E939" s="3">
        <v>35</v>
      </c>
      <c r="F939" t="s">
        <v>1813</v>
      </c>
      <c r="G939" t="s">
        <v>1818</v>
      </c>
      <c r="H939" t="s">
        <v>23</v>
      </c>
      <c r="I939" s="1" t="s">
        <v>1778</v>
      </c>
      <c r="J939" s="7">
        <v>5</v>
      </c>
      <c r="K939" s="7">
        <v>2020</v>
      </c>
      <c r="L939" s="3">
        <v>95766.91</v>
      </c>
      <c r="M939" s="9" t="s">
        <v>1960</v>
      </c>
      <c r="N939" s="2" t="s">
        <v>1880</v>
      </c>
      <c r="O939" s="3">
        <v>5066626704</v>
      </c>
      <c r="P939" t="s">
        <v>12</v>
      </c>
      <c r="Q939">
        <v>2</v>
      </c>
      <c r="R939" t="s">
        <v>1962</v>
      </c>
    </row>
    <row r="940" spans="1:18" x14ac:dyDescent="0.35">
      <c r="A940" t="s">
        <v>969</v>
      </c>
      <c r="B940" t="s">
        <v>42</v>
      </c>
      <c r="C940" t="s">
        <v>50</v>
      </c>
      <c r="D940" t="s">
        <v>1930</v>
      </c>
      <c r="E940" s="3">
        <v>30</v>
      </c>
      <c r="F940" t="s">
        <v>1815</v>
      </c>
      <c r="G940" t="s">
        <v>1818</v>
      </c>
      <c r="H940" t="s">
        <v>19</v>
      </c>
      <c r="I940" s="1" t="s">
        <v>1779</v>
      </c>
      <c r="J940" s="7">
        <v>4</v>
      </c>
      <c r="K940" s="7">
        <v>2021</v>
      </c>
      <c r="L940" s="3">
        <v>51990.98</v>
      </c>
      <c r="M940" s="9" t="s">
        <v>1958</v>
      </c>
      <c r="N940" s="2" t="s">
        <v>1865</v>
      </c>
      <c r="O940" s="3">
        <v>5143776935</v>
      </c>
      <c r="P940" t="s">
        <v>15</v>
      </c>
      <c r="Q940">
        <v>4</v>
      </c>
      <c r="R940" t="s">
        <v>1962</v>
      </c>
    </row>
    <row r="941" spans="1:18" x14ac:dyDescent="0.35">
      <c r="A941" t="s">
        <v>970</v>
      </c>
      <c r="B941" t="s">
        <v>40</v>
      </c>
      <c r="C941" t="s">
        <v>35</v>
      </c>
      <c r="D941" t="s">
        <v>1915</v>
      </c>
      <c r="E941" s="3">
        <v>25</v>
      </c>
      <c r="F941" t="s">
        <v>1821</v>
      </c>
      <c r="G941" t="s">
        <v>1818</v>
      </c>
      <c r="H941" t="s">
        <v>23</v>
      </c>
      <c r="I941" s="1" t="s">
        <v>1635</v>
      </c>
      <c r="J941" s="7">
        <v>2</v>
      </c>
      <c r="K941" s="7">
        <v>2023</v>
      </c>
      <c r="L941" s="3">
        <v>83634.009999999995</v>
      </c>
      <c r="M941" s="9" t="s">
        <v>1959</v>
      </c>
      <c r="N941" s="2" t="s">
        <v>1850</v>
      </c>
      <c r="O941" s="3">
        <v>6343925294</v>
      </c>
      <c r="P941" t="s">
        <v>12</v>
      </c>
      <c r="Q941">
        <v>2</v>
      </c>
      <c r="R941" t="s">
        <v>1962</v>
      </c>
    </row>
    <row r="942" spans="1:18" x14ac:dyDescent="0.35">
      <c r="A942" t="s">
        <v>971</v>
      </c>
      <c r="B942" t="s">
        <v>22</v>
      </c>
      <c r="C942" t="s">
        <v>14</v>
      </c>
      <c r="D942" t="s">
        <v>1927</v>
      </c>
      <c r="E942" s="3">
        <v>40</v>
      </c>
      <c r="F942" t="s">
        <v>1813</v>
      </c>
      <c r="G942" t="s">
        <v>1816</v>
      </c>
      <c r="H942" t="s">
        <v>23</v>
      </c>
      <c r="I942" s="1" t="s">
        <v>1780</v>
      </c>
      <c r="J942" s="7">
        <v>3</v>
      </c>
      <c r="K942" s="7">
        <v>2022</v>
      </c>
      <c r="L942" s="3">
        <v>0</v>
      </c>
      <c r="M942" s="9" t="s">
        <v>1958</v>
      </c>
      <c r="N942" s="2" t="s">
        <v>1862</v>
      </c>
      <c r="O942" s="3">
        <v>9611110285</v>
      </c>
      <c r="P942" t="s">
        <v>20</v>
      </c>
      <c r="Q942">
        <v>3</v>
      </c>
      <c r="R942" t="s">
        <v>1962</v>
      </c>
    </row>
    <row r="943" spans="1:18" x14ac:dyDescent="0.35">
      <c r="A943" t="s">
        <v>972</v>
      </c>
      <c r="B943" t="s">
        <v>22</v>
      </c>
      <c r="C943" t="s">
        <v>18</v>
      </c>
      <c r="D943" t="s">
        <v>1945</v>
      </c>
      <c r="E943" s="3">
        <v>30</v>
      </c>
      <c r="F943" t="s">
        <v>1821</v>
      </c>
      <c r="G943" t="s">
        <v>1816</v>
      </c>
      <c r="H943" t="s">
        <v>11</v>
      </c>
      <c r="I943" s="1" t="s">
        <v>1499</v>
      </c>
      <c r="J943" s="7">
        <v>4</v>
      </c>
      <c r="K943" s="7">
        <v>2021</v>
      </c>
      <c r="L943" s="3">
        <v>82273.08</v>
      </c>
      <c r="M943" s="9" t="s">
        <v>1959</v>
      </c>
      <c r="N943" s="2" t="s">
        <v>1880</v>
      </c>
      <c r="O943" s="3">
        <v>7120072023</v>
      </c>
      <c r="P943" t="s">
        <v>15</v>
      </c>
      <c r="Q943">
        <v>4</v>
      </c>
      <c r="R943" t="s">
        <v>1963</v>
      </c>
    </row>
    <row r="944" spans="1:18" x14ac:dyDescent="0.35">
      <c r="A944" t="s">
        <v>973</v>
      </c>
      <c r="B944" t="s">
        <v>25</v>
      </c>
      <c r="C944" t="s">
        <v>29</v>
      </c>
      <c r="D944" t="s">
        <v>1932</v>
      </c>
      <c r="E944" s="3">
        <v>30</v>
      </c>
      <c r="F944" t="s">
        <v>1819</v>
      </c>
      <c r="G944" t="s">
        <v>1814</v>
      </c>
      <c r="H944" t="s">
        <v>23</v>
      </c>
      <c r="I944" s="1" t="s">
        <v>1584</v>
      </c>
      <c r="J944" s="7">
        <v>3</v>
      </c>
      <c r="K944" s="7">
        <v>2022</v>
      </c>
      <c r="L944" s="3">
        <v>94537.3</v>
      </c>
      <c r="M944" s="9" t="s">
        <v>1960</v>
      </c>
      <c r="N944" s="2" t="s">
        <v>1867</v>
      </c>
      <c r="O944" s="3">
        <v>5591024509</v>
      </c>
      <c r="P944" t="s">
        <v>20</v>
      </c>
      <c r="Q944">
        <v>3</v>
      </c>
      <c r="R944" t="s">
        <v>1962</v>
      </c>
    </row>
    <row r="945" spans="1:18" x14ac:dyDescent="0.35">
      <c r="A945" t="s">
        <v>974</v>
      </c>
      <c r="B945" t="s">
        <v>17</v>
      </c>
      <c r="C945" t="s">
        <v>18</v>
      </c>
      <c r="D945" t="s">
        <v>1894</v>
      </c>
      <c r="E945" s="3">
        <v>35</v>
      </c>
      <c r="F945" t="s">
        <v>1823</v>
      </c>
      <c r="G945" t="s">
        <v>1824</v>
      </c>
      <c r="H945" t="s">
        <v>19</v>
      </c>
      <c r="I945" s="1" t="s">
        <v>1369</v>
      </c>
      <c r="J945" s="7">
        <v>5</v>
      </c>
      <c r="K945" s="7">
        <v>2020</v>
      </c>
      <c r="L945" s="3">
        <v>85970.65</v>
      </c>
      <c r="M945" s="9" t="s">
        <v>1960</v>
      </c>
      <c r="N945" s="2" t="s">
        <v>1829</v>
      </c>
      <c r="O945" s="3">
        <v>9109032670</v>
      </c>
      <c r="P945" t="s">
        <v>20</v>
      </c>
      <c r="Q945">
        <v>3</v>
      </c>
      <c r="R945" t="s">
        <v>1962</v>
      </c>
    </row>
    <row r="946" spans="1:18" x14ac:dyDescent="0.35">
      <c r="A946" t="s">
        <v>975</v>
      </c>
      <c r="B946" t="s">
        <v>34</v>
      </c>
      <c r="C946" t="s">
        <v>18</v>
      </c>
      <c r="D946" t="s">
        <v>1916</v>
      </c>
      <c r="E946" s="3">
        <v>25</v>
      </c>
      <c r="F946" t="s">
        <v>1821</v>
      </c>
      <c r="G946" t="s">
        <v>1822</v>
      </c>
      <c r="H946" t="s">
        <v>19</v>
      </c>
      <c r="I946" s="1" t="s">
        <v>1781</v>
      </c>
      <c r="J946" s="7">
        <v>4</v>
      </c>
      <c r="K946" s="7">
        <v>2021</v>
      </c>
      <c r="L946" s="3">
        <v>111071.02</v>
      </c>
      <c r="M946" s="9" t="s">
        <v>1960</v>
      </c>
      <c r="N946" s="2" t="s">
        <v>1851</v>
      </c>
      <c r="O946" s="3">
        <v>4949819420</v>
      </c>
      <c r="P946" t="s">
        <v>15</v>
      </c>
      <c r="Q946">
        <v>4</v>
      </c>
      <c r="R946" t="s">
        <v>1963</v>
      </c>
    </row>
    <row r="947" spans="1:18" x14ac:dyDescent="0.35">
      <c r="A947" t="s">
        <v>976</v>
      </c>
      <c r="B947" t="s">
        <v>22</v>
      </c>
      <c r="C947" t="s">
        <v>10</v>
      </c>
      <c r="D947" t="s">
        <v>1895</v>
      </c>
      <c r="E947" s="3">
        <v>35</v>
      </c>
      <c r="F947" t="s">
        <v>1813</v>
      </c>
      <c r="G947" t="s">
        <v>1818</v>
      </c>
      <c r="H947" t="s">
        <v>19</v>
      </c>
      <c r="I947" s="1" t="s">
        <v>1299</v>
      </c>
      <c r="J947" s="7">
        <v>2</v>
      </c>
      <c r="K947" s="7">
        <v>2022</v>
      </c>
      <c r="L947" s="3">
        <v>56708.34</v>
      </c>
      <c r="M947" s="9" t="s">
        <v>1958</v>
      </c>
      <c r="N947" s="2" t="s">
        <v>1830</v>
      </c>
      <c r="O947" s="3">
        <v>7942817933</v>
      </c>
      <c r="P947" t="s">
        <v>15</v>
      </c>
      <c r="Q947">
        <v>4</v>
      </c>
      <c r="R947" t="s">
        <v>1963</v>
      </c>
    </row>
    <row r="948" spans="1:18" x14ac:dyDescent="0.35">
      <c r="A948" t="s">
        <v>977</v>
      </c>
      <c r="B948" t="s">
        <v>34</v>
      </c>
      <c r="C948" t="s">
        <v>18</v>
      </c>
      <c r="D948" t="s">
        <v>1916</v>
      </c>
      <c r="E948" s="3">
        <v>25</v>
      </c>
      <c r="F948" t="s">
        <v>1817</v>
      </c>
      <c r="G948" t="s">
        <v>1824</v>
      </c>
      <c r="H948" t="s">
        <v>23</v>
      </c>
      <c r="I948" s="1" t="s">
        <v>1433</v>
      </c>
      <c r="J948" s="7">
        <v>3</v>
      </c>
      <c r="K948" s="7">
        <v>2022</v>
      </c>
      <c r="L948" s="3">
        <v>104516.55</v>
      </c>
      <c r="M948" s="9" t="s">
        <v>1960</v>
      </c>
      <c r="N948" s="2" t="s">
        <v>1851</v>
      </c>
      <c r="O948" s="3">
        <v>652775843</v>
      </c>
      <c r="P948" t="s">
        <v>15</v>
      </c>
      <c r="Q948">
        <v>4</v>
      </c>
      <c r="R948" t="s">
        <v>1963</v>
      </c>
    </row>
    <row r="949" spans="1:18" x14ac:dyDescent="0.35">
      <c r="A949" t="s">
        <v>978</v>
      </c>
      <c r="B949" t="s">
        <v>34</v>
      </c>
      <c r="C949" t="s">
        <v>29</v>
      </c>
      <c r="D949" t="s">
        <v>1909</v>
      </c>
      <c r="E949" s="3">
        <v>25</v>
      </c>
      <c r="F949" t="s">
        <v>1817</v>
      </c>
      <c r="G949" t="s">
        <v>1822</v>
      </c>
      <c r="H949" t="s">
        <v>19</v>
      </c>
      <c r="I949" s="1" t="s">
        <v>1465</v>
      </c>
      <c r="J949" s="7">
        <v>4</v>
      </c>
      <c r="K949" s="7">
        <v>2021</v>
      </c>
      <c r="L949" s="3">
        <v>108210.15</v>
      </c>
      <c r="M949" s="9" t="s">
        <v>1960</v>
      </c>
      <c r="N949" s="2" t="s">
        <v>1844</v>
      </c>
      <c r="O949" s="3">
        <v>6634533721</v>
      </c>
      <c r="P949" t="s">
        <v>27</v>
      </c>
      <c r="Q949">
        <v>1</v>
      </c>
      <c r="R949" t="s">
        <v>1962</v>
      </c>
    </row>
    <row r="950" spans="1:18" x14ac:dyDescent="0.35">
      <c r="A950" t="s">
        <v>979</v>
      </c>
      <c r="B950" t="s">
        <v>9</v>
      </c>
      <c r="C950" t="s">
        <v>50</v>
      </c>
      <c r="D950" t="s">
        <v>1911</v>
      </c>
      <c r="E950" s="3">
        <v>40</v>
      </c>
      <c r="F950" t="s">
        <v>1815</v>
      </c>
      <c r="G950" t="s">
        <v>1816</v>
      </c>
      <c r="H950" t="s">
        <v>11</v>
      </c>
      <c r="I950" s="1" t="s">
        <v>1782</v>
      </c>
      <c r="J950" s="7">
        <v>1</v>
      </c>
      <c r="K950" s="7">
        <v>2024</v>
      </c>
      <c r="L950" s="3">
        <v>0</v>
      </c>
      <c r="M950" s="9" t="s">
        <v>1958</v>
      </c>
      <c r="N950" s="2" t="s">
        <v>1846</v>
      </c>
      <c r="O950" s="3">
        <v>109121721</v>
      </c>
      <c r="P950" t="s">
        <v>15</v>
      </c>
      <c r="Q950">
        <v>4</v>
      </c>
      <c r="R950" t="s">
        <v>1962</v>
      </c>
    </row>
    <row r="951" spans="1:18" x14ac:dyDescent="0.35">
      <c r="A951" t="s">
        <v>980</v>
      </c>
      <c r="B951" t="s">
        <v>25</v>
      </c>
      <c r="C951" t="s">
        <v>18</v>
      </c>
      <c r="D951" t="s">
        <v>1898</v>
      </c>
      <c r="E951" s="3">
        <v>35</v>
      </c>
      <c r="F951" t="s">
        <v>1813</v>
      </c>
      <c r="G951" t="s">
        <v>1814</v>
      </c>
      <c r="H951" t="s">
        <v>11</v>
      </c>
      <c r="I951" s="1" t="s">
        <v>1531</v>
      </c>
      <c r="J951" s="7">
        <v>1</v>
      </c>
      <c r="K951" s="7">
        <v>2024</v>
      </c>
      <c r="L951" s="3">
        <v>80935.649999999994</v>
      </c>
      <c r="M951" s="9" t="s">
        <v>1959</v>
      </c>
      <c r="N951" s="2" t="s">
        <v>1833</v>
      </c>
      <c r="O951" s="3">
        <v>1455937660</v>
      </c>
      <c r="P951" t="s">
        <v>15</v>
      </c>
      <c r="Q951">
        <v>4</v>
      </c>
      <c r="R951" t="s">
        <v>1963</v>
      </c>
    </row>
    <row r="952" spans="1:18" x14ac:dyDescent="0.35">
      <c r="A952" t="s">
        <v>981</v>
      </c>
      <c r="B952" t="s">
        <v>25</v>
      </c>
      <c r="C952" t="s">
        <v>26</v>
      </c>
      <c r="D952" t="s">
        <v>1896</v>
      </c>
      <c r="E952" s="3">
        <v>30</v>
      </c>
      <c r="F952" t="s">
        <v>1813</v>
      </c>
      <c r="G952" t="s">
        <v>1814</v>
      </c>
      <c r="H952" t="s">
        <v>11</v>
      </c>
      <c r="I952" s="1" t="s">
        <v>1504</v>
      </c>
      <c r="J952" s="7">
        <v>1</v>
      </c>
      <c r="K952" s="7">
        <v>2024</v>
      </c>
      <c r="L952" s="3">
        <v>107020.19</v>
      </c>
      <c r="M952" s="9" t="s">
        <v>1960</v>
      </c>
      <c r="N952" s="2" t="s">
        <v>1831</v>
      </c>
      <c r="O952" s="3">
        <v>8943705262</v>
      </c>
      <c r="P952" t="s">
        <v>15</v>
      </c>
      <c r="Q952">
        <v>4</v>
      </c>
      <c r="R952" t="s">
        <v>1963</v>
      </c>
    </row>
    <row r="953" spans="1:18" x14ac:dyDescent="0.35">
      <c r="A953" t="s">
        <v>982</v>
      </c>
      <c r="B953" t="s">
        <v>34</v>
      </c>
      <c r="C953" t="s">
        <v>14</v>
      </c>
      <c r="D953" t="s">
        <v>1918</v>
      </c>
      <c r="E953" s="3">
        <v>30</v>
      </c>
      <c r="F953" t="s">
        <v>1823</v>
      </c>
      <c r="G953" t="s">
        <v>1822</v>
      </c>
      <c r="H953" t="s">
        <v>11</v>
      </c>
      <c r="I953" s="1" t="s">
        <v>1205</v>
      </c>
      <c r="J953" s="7">
        <v>5</v>
      </c>
      <c r="K953" s="7">
        <v>2020</v>
      </c>
      <c r="L953" s="3">
        <v>118677.67</v>
      </c>
      <c r="M953" s="9" t="s">
        <v>1960</v>
      </c>
      <c r="N953" s="2" t="s">
        <v>1853</v>
      </c>
      <c r="O953" s="3">
        <v>5100462775</v>
      </c>
      <c r="P953" t="s">
        <v>15</v>
      </c>
      <c r="Q953">
        <v>4</v>
      </c>
      <c r="R953" t="s">
        <v>1963</v>
      </c>
    </row>
    <row r="954" spans="1:18" x14ac:dyDescent="0.35">
      <c r="A954" t="s">
        <v>983</v>
      </c>
      <c r="B954" t="s">
        <v>9</v>
      </c>
      <c r="C954" t="s">
        <v>18</v>
      </c>
      <c r="D954" t="s">
        <v>1899</v>
      </c>
      <c r="E954" s="3">
        <v>25</v>
      </c>
      <c r="F954" t="s">
        <v>1819</v>
      </c>
      <c r="G954" t="s">
        <v>1820</v>
      </c>
      <c r="H954" t="s">
        <v>23</v>
      </c>
      <c r="I954" s="1" t="s">
        <v>1447</v>
      </c>
      <c r="J954" s="7">
        <v>5</v>
      </c>
      <c r="K954" s="7">
        <v>2020</v>
      </c>
      <c r="L954" s="3">
        <v>63744.57</v>
      </c>
      <c r="M954" s="9" t="s">
        <v>1959</v>
      </c>
      <c r="N954" s="2" t="s">
        <v>1834</v>
      </c>
      <c r="O954" s="3">
        <v>5725659201</v>
      </c>
      <c r="P954" t="s">
        <v>12</v>
      </c>
      <c r="Q954">
        <v>2</v>
      </c>
      <c r="R954" t="s">
        <v>1963</v>
      </c>
    </row>
    <row r="955" spans="1:18" x14ac:dyDescent="0.35">
      <c r="A955" t="s">
        <v>984</v>
      </c>
      <c r="B955" t="s">
        <v>17</v>
      </c>
      <c r="C955" t="s">
        <v>14</v>
      </c>
      <c r="D955" t="s">
        <v>1907</v>
      </c>
      <c r="E955" s="3">
        <v>40</v>
      </c>
      <c r="F955" t="s">
        <v>1819</v>
      </c>
      <c r="G955" t="s">
        <v>1814</v>
      </c>
      <c r="H955" t="s">
        <v>11</v>
      </c>
      <c r="I955" s="1" t="s">
        <v>1783</v>
      </c>
      <c r="J955" s="7">
        <v>5</v>
      </c>
      <c r="K955" s="7">
        <v>2020</v>
      </c>
      <c r="L955" s="3">
        <v>0</v>
      </c>
      <c r="M955" s="9" t="s">
        <v>1958</v>
      </c>
      <c r="N955" s="2" t="s">
        <v>1842</v>
      </c>
      <c r="O955" s="3">
        <v>4617520237</v>
      </c>
      <c r="P955" t="s">
        <v>27</v>
      </c>
      <c r="Q955">
        <v>1</v>
      </c>
      <c r="R955" t="s">
        <v>1963</v>
      </c>
    </row>
    <row r="956" spans="1:18" x14ac:dyDescent="0.35">
      <c r="A956" t="s">
        <v>985</v>
      </c>
      <c r="B956" t="s">
        <v>9</v>
      </c>
      <c r="C956" t="s">
        <v>26</v>
      </c>
      <c r="D956" t="s">
        <v>1924</v>
      </c>
      <c r="E956" s="3">
        <v>25</v>
      </c>
      <c r="F956" t="s">
        <v>1821</v>
      </c>
      <c r="G956" t="s">
        <v>1822</v>
      </c>
      <c r="H956" t="s">
        <v>19</v>
      </c>
      <c r="I956" s="1" t="s">
        <v>1784</v>
      </c>
      <c r="J956" s="7">
        <v>4</v>
      </c>
      <c r="K956" s="7">
        <v>2021</v>
      </c>
      <c r="L956" s="3">
        <v>62934.73</v>
      </c>
      <c r="M956" s="9" t="s">
        <v>1959</v>
      </c>
      <c r="N956" s="2" t="s">
        <v>1859</v>
      </c>
      <c r="O956" s="3">
        <v>9743260054</v>
      </c>
      <c r="P956" t="s">
        <v>20</v>
      </c>
      <c r="Q956">
        <v>3</v>
      </c>
      <c r="R956" t="s">
        <v>1963</v>
      </c>
    </row>
    <row r="957" spans="1:18" x14ac:dyDescent="0.35">
      <c r="A957" t="s">
        <v>986</v>
      </c>
      <c r="B957" t="s">
        <v>9</v>
      </c>
      <c r="C957" t="s">
        <v>26</v>
      </c>
      <c r="D957" t="s">
        <v>1924</v>
      </c>
      <c r="E957" s="3">
        <v>30</v>
      </c>
      <c r="F957" t="s">
        <v>1813</v>
      </c>
      <c r="G957" t="s">
        <v>1814</v>
      </c>
      <c r="H957" t="s">
        <v>19</v>
      </c>
      <c r="I957" s="1" t="s">
        <v>1746</v>
      </c>
      <c r="J957" s="7">
        <v>3</v>
      </c>
      <c r="K957" s="7">
        <v>2021</v>
      </c>
      <c r="L957" s="3">
        <v>74654.23</v>
      </c>
      <c r="M957" s="9" t="s">
        <v>1959</v>
      </c>
      <c r="N957" s="2" t="s">
        <v>1859</v>
      </c>
      <c r="O957" s="3">
        <v>9550178331</v>
      </c>
      <c r="P957" t="s">
        <v>15</v>
      </c>
      <c r="Q957">
        <v>4</v>
      </c>
      <c r="R957" t="s">
        <v>1962</v>
      </c>
    </row>
    <row r="958" spans="1:18" x14ac:dyDescent="0.35">
      <c r="A958" t="s">
        <v>987</v>
      </c>
      <c r="B958" t="s">
        <v>37</v>
      </c>
      <c r="C958" t="s">
        <v>14</v>
      </c>
      <c r="D958" t="s">
        <v>1938</v>
      </c>
      <c r="E958" s="3">
        <v>30</v>
      </c>
      <c r="F958" t="s">
        <v>1821</v>
      </c>
      <c r="G958" t="s">
        <v>1816</v>
      </c>
      <c r="H958" t="s">
        <v>11</v>
      </c>
      <c r="I958" s="1" t="s">
        <v>1785</v>
      </c>
      <c r="J958" s="7">
        <v>1</v>
      </c>
      <c r="K958" s="7">
        <v>2024</v>
      </c>
      <c r="L958" s="3">
        <v>0</v>
      </c>
      <c r="M958" s="9" t="s">
        <v>1958</v>
      </c>
      <c r="N958" s="2" t="s">
        <v>1873</v>
      </c>
      <c r="O958" s="3">
        <v>5848689992</v>
      </c>
      <c r="P958" t="s">
        <v>12</v>
      </c>
      <c r="Q958">
        <v>2</v>
      </c>
      <c r="R958" t="s">
        <v>1962</v>
      </c>
    </row>
    <row r="959" spans="1:18" x14ac:dyDescent="0.35">
      <c r="A959" t="s">
        <v>988</v>
      </c>
      <c r="B959" t="s">
        <v>37</v>
      </c>
      <c r="C959" t="s">
        <v>62</v>
      </c>
      <c r="D959" t="s">
        <v>1949</v>
      </c>
      <c r="E959" s="3">
        <v>30</v>
      </c>
      <c r="F959" t="s">
        <v>1823</v>
      </c>
      <c r="G959" t="s">
        <v>1822</v>
      </c>
      <c r="H959" t="s">
        <v>19</v>
      </c>
      <c r="I959" s="1" t="s">
        <v>1786</v>
      </c>
      <c r="J959" s="7">
        <v>5</v>
      </c>
      <c r="K959" s="7">
        <v>2020</v>
      </c>
      <c r="L959" s="3">
        <v>118150.59</v>
      </c>
      <c r="M959" s="9" t="s">
        <v>1960</v>
      </c>
      <c r="N959" s="2" t="s">
        <v>1884</v>
      </c>
      <c r="O959" s="3">
        <v>6079848703</v>
      </c>
      <c r="P959" t="s">
        <v>12</v>
      </c>
      <c r="Q959">
        <v>2</v>
      </c>
      <c r="R959" t="s">
        <v>1962</v>
      </c>
    </row>
    <row r="960" spans="1:18" x14ac:dyDescent="0.35">
      <c r="A960" t="s">
        <v>989</v>
      </c>
      <c r="B960" t="s">
        <v>37</v>
      </c>
      <c r="C960" t="s">
        <v>35</v>
      </c>
      <c r="D960" t="s">
        <v>1937</v>
      </c>
      <c r="E960" s="3">
        <v>30</v>
      </c>
      <c r="F960" t="s">
        <v>1813</v>
      </c>
      <c r="G960" t="s">
        <v>1820</v>
      </c>
      <c r="H960" t="s">
        <v>23</v>
      </c>
      <c r="I960" s="1" t="s">
        <v>1787</v>
      </c>
      <c r="J960" s="7">
        <v>1</v>
      </c>
      <c r="K960" s="7">
        <v>2023</v>
      </c>
      <c r="L960" s="3">
        <v>91256.639999999999</v>
      </c>
      <c r="M960" s="9" t="s">
        <v>1960</v>
      </c>
      <c r="N960" s="2" t="s">
        <v>1872</v>
      </c>
      <c r="O960" s="3">
        <v>5069176798</v>
      </c>
      <c r="P960" t="s">
        <v>12</v>
      </c>
      <c r="Q960">
        <v>2</v>
      </c>
      <c r="R960" t="s">
        <v>1963</v>
      </c>
    </row>
    <row r="961" spans="1:18" x14ac:dyDescent="0.35">
      <c r="A961" t="s">
        <v>990</v>
      </c>
      <c r="B961" t="s">
        <v>9</v>
      </c>
      <c r="C961" t="s">
        <v>10</v>
      </c>
      <c r="D961" t="s">
        <v>1892</v>
      </c>
      <c r="E961" s="3">
        <v>30</v>
      </c>
      <c r="F961" t="s">
        <v>1823</v>
      </c>
      <c r="G961" t="s">
        <v>1820</v>
      </c>
      <c r="H961" t="s">
        <v>23</v>
      </c>
      <c r="I961" s="1" t="s">
        <v>1647</v>
      </c>
      <c r="J961" s="7">
        <v>4</v>
      </c>
      <c r="K961" s="7">
        <v>2021</v>
      </c>
      <c r="L961" s="3">
        <v>85997.57</v>
      </c>
      <c r="M961" s="9" t="s">
        <v>1960</v>
      </c>
      <c r="N961" s="2" t="s">
        <v>1827</v>
      </c>
      <c r="O961" s="3">
        <v>3593744038</v>
      </c>
      <c r="P961" t="s">
        <v>20</v>
      </c>
      <c r="Q961">
        <v>3</v>
      </c>
      <c r="R961" t="s">
        <v>1963</v>
      </c>
    </row>
    <row r="962" spans="1:18" x14ac:dyDescent="0.35">
      <c r="A962" t="s">
        <v>991</v>
      </c>
      <c r="B962" t="s">
        <v>25</v>
      </c>
      <c r="C962" t="s">
        <v>62</v>
      </c>
      <c r="D962" t="s">
        <v>1922</v>
      </c>
      <c r="E962" s="3">
        <v>25</v>
      </c>
      <c r="F962" t="s">
        <v>1815</v>
      </c>
      <c r="G962" t="s">
        <v>1816</v>
      </c>
      <c r="H962" t="s">
        <v>19</v>
      </c>
      <c r="I962" s="1" t="s">
        <v>1788</v>
      </c>
      <c r="J962" s="7">
        <v>5</v>
      </c>
      <c r="K962" s="7">
        <v>2020</v>
      </c>
      <c r="L962" s="3">
        <v>84707.12</v>
      </c>
      <c r="M962" s="9" t="s">
        <v>1959</v>
      </c>
      <c r="N962" s="2" t="s">
        <v>1857</v>
      </c>
      <c r="O962" s="3">
        <v>4640830372</v>
      </c>
      <c r="P962" t="s">
        <v>15</v>
      </c>
      <c r="Q962">
        <v>4</v>
      </c>
      <c r="R962" t="s">
        <v>1963</v>
      </c>
    </row>
    <row r="963" spans="1:18" x14ac:dyDescent="0.35">
      <c r="A963" t="s">
        <v>992</v>
      </c>
      <c r="B963" t="s">
        <v>22</v>
      </c>
      <c r="C963" t="s">
        <v>62</v>
      </c>
      <c r="D963" t="s">
        <v>1955</v>
      </c>
      <c r="E963" s="3">
        <v>30</v>
      </c>
      <c r="F963" t="s">
        <v>1813</v>
      </c>
      <c r="G963" t="s">
        <v>1816</v>
      </c>
      <c r="H963" t="s">
        <v>11</v>
      </c>
      <c r="I963" s="1" t="s">
        <v>1303</v>
      </c>
      <c r="J963" s="7">
        <v>4</v>
      </c>
      <c r="K963" s="7">
        <v>2021</v>
      </c>
      <c r="L963" s="3">
        <v>84559.9</v>
      </c>
      <c r="M963" s="9" t="s">
        <v>1959</v>
      </c>
      <c r="N963" s="2" t="s">
        <v>1890</v>
      </c>
      <c r="O963" s="3">
        <v>6060148859</v>
      </c>
      <c r="P963" t="s">
        <v>27</v>
      </c>
      <c r="Q963">
        <v>1</v>
      </c>
      <c r="R963" t="s">
        <v>1963</v>
      </c>
    </row>
    <row r="964" spans="1:18" x14ac:dyDescent="0.35">
      <c r="A964" t="s">
        <v>993</v>
      </c>
      <c r="B964" t="s">
        <v>40</v>
      </c>
      <c r="C964" t="s">
        <v>50</v>
      </c>
      <c r="D964" t="s">
        <v>1920</v>
      </c>
      <c r="E964" s="3">
        <v>30</v>
      </c>
      <c r="F964" t="s">
        <v>1813</v>
      </c>
      <c r="G964" t="s">
        <v>1814</v>
      </c>
      <c r="H964" t="s">
        <v>19</v>
      </c>
      <c r="I964" s="1" t="s">
        <v>1739</v>
      </c>
      <c r="J964" s="7">
        <v>1</v>
      </c>
      <c r="K964" s="7">
        <v>2024</v>
      </c>
      <c r="L964" s="3">
        <v>81076.91</v>
      </c>
      <c r="M964" s="9" t="s">
        <v>1959</v>
      </c>
      <c r="N964" s="2" t="s">
        <v>1855</v>
      </c>
      <c r="O964" s="3">
        <v>8490793883</v>
      </c>
      <c r="P964" t="s">
        <v>27</v>
      </c>
      <c r="Q964">
        <v>1</v>
      </c>
      <c r="R964" t="s">
        <v>1963</v>
      </c>
    </row>
    <row r="965" spans="1:18" x14ac:dyDescent="0.35">
      <c r="A965" t="s">
        <v>994</v>
      </c>
      <c r="B965" t="s">
        <v>22</v>
      </c>
      <c r="C965" t="s">
        <v>10</v>
      </c>
      <c r="D965" t="s">
        <v>1895</v>
      </c>
      <c r="E965" s="3">
        <v>40</v>
      </c>
      <c r="F965" t="s">
        <v>1817</v>
      </c>
      <c r="G965" t="s">
        <v>1816</v>
      </c>
      <c r="H965" t="s">
        <v>23</v>
      </c>
      <c r="I965" s="1" t="s">
        <v>1789</v>
      </c>
      <c r="J965" s="7">
        <v>2</v>
      </c>
      <c r="K965" s="7">
        <v>2023</v>
      </c>
      <c r="L965" s="3">
        <v>0</v>
      </c>
      <c r="M965" s="9" t="s">
        <v>1958</v>
      </c>
      <c r="N965" s="2" t="s">
        <v>1830</v>
      </c>
      <c r="O965" s="3">
        <v>1368528305</v>
      </c>
      <c r="P965" t="s">
        <v>12</v>
      </c>
      <c r="Q965">
        <v>2</v>
      </c>
      <c r="R965" t="s">
        <v>1963</v>
      </c>
    </row>
    <row r="966" spans="1:18" x14ac:dyDescent="0.35">
      <c r="A966" t="s">
        <v>995</v>
      </c>
      <c r="B966" t="s">
        <v>40</v>
      </c>
      <c r="C966" t="s">
        <v>10</v>
      </c>
      <c r="D966" t="s">
        <v>1952</v>
      </c>
      <c r="E966" s="3">
        <v>25</v>
      </c>
      <c r="F966" t="s">
        <v>1815</v>
      </c>
      <c r="G966" t="s">
        <v>1820</v>
      </c>
      <c r="H966" t="s">
        <v>19</v>
      </c>
      <c r="I966" s="1" t="s">
        <v>1790</v>
      </c>
      <c r="J966" s="7">
        <v>2</v>
      </c>
      <c r="K966" s="7">
        <v>2023</v>
      </c>
      <c r="L966" s="3">
        <v>97356.31</v>
      </c>
      <c r="M966" s="9" t="s">
        <v>1960</v>
      </c>
      <c r="N966" s="2" t="s">
        <v>1887</v>
      </c>
      <c r="O966" s="3">
        <v>1537012423</v>
      </c>
      <c r="P966" t="s">
        <v>20</v>
      </c>
      <c r="Q966">
        <v>3</v>
      </c>
      <c r="R966" t="s">
        <v>1962</v>
      </c>
    </row>
    <row r="967" spans="1:18" x14ac:dyDescent="0.35">
      <c r="A967" t="s">
        <v>996</v>
      </c>
      <c r="B967" t="s">
        <v>42</v>
      </c>
      <c r="C967" t="s">
        <v>62</v>
      </c>
      <c r="D967" t="s">
        <v>1921</v>
      </c>
      <c r="E967" s="3">
        <v>40</v>
      </c>
      <c r="F967" t="s">
        <v>1813</v>
      </c>
      <c r="G967" t="s">
        <v>1824</v>
      </c>
      <c r="H967" t="s">
        <v>11</v>
      </c>
      <c r="I967" s="1" t="s">
        <v>1351</v>
      </c>
      <c r="J967" s="7">
        <v>1</v>
      </c>
      <c r="K967" s="7">
        <v>2024</v>
      </c>
      <c r="L967" s="3">
        <v>114770.32</v>
      </c>
      <c r="M967" s="9" t="s">
        <v>1960</v>
      </c>
      <c r="N967" s="2" t="s">
        <v>1856</v>
      </c>
      <c r="O967" s="3">
        <v>4626325143</v>
      </c>
      <c r="P967" t="s">
        <v>20</v>
      </c>
      <c r="Q967">
        <v>3</v>
      </c>
      <c r="R967" t="s">
        <v>1962</v>
      </c>
    </row>
    <row r="968" spans="1:18" x14ac:dyDescent="0.35">
      <c r="A968" t="s">
        <v>997</v>
      </c>
      <c r="B968" t="s">
        <v>9</v>
      </c>
      <c r="C968" t="s">
        <v>18</v>
      </c>
      <c r="D968" t="s">
        <v>1899</v>
      </c>
      <c r="E968" s="3">
        <v>35</v>
      </c>
      <c r="F968" t="s">
        <v>1817</v>
      </c>
      <c r="G968" t="s">
        <v>1814</v>
      </c>
      <c r="H968" t="s">
        <v>11</v>
      </c>
      <c r="I968" s="1" t="s">
        <v>1086</v>
      </c>
      <c r="J968" s="7">
        <v>2</v>
      </c>
      <c r="K968" s="7">
        <v>2023</v>
      </c>
      <c r="L968" s="3">
        <v>109082.07</v>
      </c>
      <c r="M968" s="9" t="s">
        <v>1960</v>
      </c>
      <c r="N968" s="2" t="s">
        <v>1834</v>
      </c>
      <c r="O968" s="3">
        <v>8811210313</v>
      </c>
      <c r="P968" t="s">
        <v>20</v>
      </c>
      <c r="Q968">
        <v>3</v>
      </c>
      <c r="R968" t="s">
        <v>1963</v>
      </c>
    </row>
    <row r="969" spans="1:18" x14ac:dyDescent="0.35">
      <c r="A969" t="s">
        <v>998</v>
      </c>
      <c r="B969" t="s">
        <v>37</v>
      </c>
      <c r="C969" t="s">
        <v>50</v>
      </c>
      <c r="D969" t="s">
        <v>1913</v>
      </c>
      <c r="E969" s="3">
        <v>40</v>
      </c>
      <c r="F969" t="s">
        <v>1813</v>
      </c>
      <c r="G969" t="s">
        <v>1820</v>
      </c>
      <c r="H969" t="s">
        <v>23</v>
      </c>
      <c r="I969" s="1" t="s">
        <v>1791</v>
      </c>
      <c r="J969" s="7">
        <v>1</v>
      </c>
      <c r="K969" s="7">
        <v>2024</v>
      </c>
      <c r="L969" s="3">
        <v>99944.57</v>
      </c>
      <c r="M969" s="9" t="s">
        <v>1960</v>
      </c>
      <c r="N969" s="2" t="s">
        <v>1848</v>
      </c>
      <c r="O969" s="3">
        <v>2175188780</v>
      </c>
      <c r="P969" t="s">
        <v>27</v>
      </c>
      <c r="Q969">
        <v>1</v>
      </c>
      <c r="R969" t="s">
        <v>1962</v>
      </c>
    </row>
    <row r="970" spans="1:18" x14ac:dyDescent="0.35">
      <c r="A970" t="s">
        <v>999</v>
      </c>
      <c r="B970" t="s">
        <v>22</v>
      </c>
      <c r="C970" t="s">
        <v>50</v>
      </c>
      <c r="D970" t="s">
        <v>1943</v>
      </c>
      <c r="E970" s="3">
        <v>40</v>
      </c>
      <c r="F970" t="s">
        <v>1823</v>
      </c>
      <c r="G970" t="s">
        <v>1820</v>
      </c>
      <c r="H970" t="s">
        <v>19</v>
      </c>
      <c r="I970" s="1" t="s">
        <v>1585</v>
      </c>
      <c r="J970" s="7">
        <v>2</v>
      </c>
      <c r="K970" s="7">
        <v>2023</v>
      </c>
      <c r="L970" s="3">
        <v>116509.72</v>
      </c>
      <c r="M970" s="9" t="s">
        <v>1960</v>
      </c>
      <c r="N970" s="2" t="s">
        <v>1878</v>
      </c>
      <c r="O970" s="3">
        <v>7941515262</v>
      </c>
      <c r="P970" t="s">
        <v>12</v>
      </c>
      <c r="Q970">
        <v>2</v>
      </c>
      <c r="R970" t="s">
        <v>1963</v>
      </c>
    </row>
    <row r="971" spans="1:18" x14ac:dyDescent="0.35">
      <c r="A971" t="s">
        <v>1000</v>
      </c>
      <c r="B971" t="s">
        <v>22</v>
      </c>
      <c r="C971" t="s">
        <v>26</v>
      </c>
      <c r="D971" t="s">
        <v>1923</v>
      </c>
      <c r="E971" s="3">
        <v>30</v>
      </c>
      <c r="F971" t="s">
        <v>1815</v>
      </c>
      <c r="G971" t="s">
        <v>1816</v>
      </c>
      <c r="H971" t="s">
        <v>11</v>
      </c>
      <c r="I971" s="1" t="s">
        <v>1287</v>
      </c>
      <c r="J971" s="7">
        <v>4</v>
      </c>
      <c r="K971" s="7">
        <v>2021</v>
      </c>
      <c r="L971" s="3">
        <v>84253.9</v>
      </c>
      <c r="M971" s="9" t="s">
        <v>1959</v>
      </c>
      <c r="N971" s="2" t="s">
        <v>1858</v>
      </c>
      <c r="O971" s="3">
        <v>8409112251</v>
      </c>
      <c r="P971" t="s">
        <v>15</v>
      </c>
      <c r="Q971">
        <v>4</v>
      </c>
      <c r="R971" t="s">
        <v>1962</v>
      </c>
    </row>
    <row r="972" spans="1:18" x14ac:dyDescent="0.35">
      <c r="A972" t="s">
        <v>1001</v>
      </c>
      <c r="B972" t="s">
        <v>34</v>
      </c>
      <c r="C972" t="s">
        <v>29</v>
      </c>
      <c r="D972" t="s">
        <v>1909</v>
      </c>
      <c r="E972" s="3">
        <v>25</v>
      </c>
      <c r="F972" t="s">
        <v>1819</v>
      </c>
      <c r="G972" t="s">
        <v>1818</v>
      </c>
      <c r="H972" t="s">
        <v>11</v>
      </c>
      <c r="I972" s="1" t="s">
        <v>1792</v>
      </c>
      <c r="J972" s="7">
        <v>1</v>
      </c>
      <c r="K972" s="7">
        <v>2024</v>
      </c>
      <c r="L972" s="3">
        <v>54776.01</v>
      </c>
      <c r="M972" s="9" t="s">
        <v>1958</v>
      </c>
      <c r="N972" s="2" t="s">
        <v>1844</v>
      </c>
      <c r="O972" s="3">
        <v>8837505660</v>
      </c>
      <c r="P972" t="s">
        <v>27</v>
      </c>
      <c r="Q972">
        <v>1</v>
      </c>
      <c r="R972" t="s">
        <v>1963</v>
      </c>
    </row>
    <row r="973" spans="1:18" x14ac:dyDescent="0.35">
      <c r="A973" t="s">
        <v>1002</v>
      </c>
      <c r="B973" t="s">
        <v>34</v>
      </c>
      <c r="C973" t="s">
        <v>10</v>
      </c>
      <c r="D973" t="s">
        <v>1931</v>
      </c>
      <c r="E973" s="3">
        <v>40</v>
      </c>
      <c r="F973" t="s">
        <v>1821</v>
      </c>
      <c r="G973" t="s">
        <v>1818</v>
      </c>
      <c r="H973" t="s">
        <v>23</v>
      </c>
      <c r="I973" s="1" t="s">
        <v>1793</v>
      </c>
      <c r="J973" s="7">
        <v>5</v>
      </c>
      <c r="K973" s="7">
        <v>2020</v>
      </c>
      <c r="L973" s="3">
        <v>71192.679999999993</v>
      </c>
      <c r="M973" s="9" t="s">
        <v>1959</v>
      </c>
      <c r="N973" s="2" t="s">
        <v>1866</v>
      </c>
      <c r="O973" s="3">
        <v>8632397912</v>
      </c>
      <c r="P973" t="s">
        <v>12</v>
      </c>
      <c r="Q973">
        <v>2</v>
      </c>
      <c r="R973" t="s">
        <v>1963</v>
      </c>
    </row>
    <row r="974" spans="1:18" x14ac:dyDescent="0.35">
      <c r="A974" t="s">
        <v>1003</v>
      </c>
      <c r="B974" t="s">
        <v>9</v>
      </c>
      <c r="C974" t="s">
        <v>62</v>
      </c>
      <c r="D974" t="s">
        <v>1917</v>
      </c>
      <c r="E974" s="3">
        <v>30</v>
      </c>
      <c r="F974" t="s">
        <v>1815</v>
      </c>
      <c r="G974" t="s">
        <v>1820</v>
      </c>
      <c r="H974" t="s">
        <v>11</v>
      </c>
      <c r="I974" s="1" t="s">
        <v>1794</v>
      </c>
      <c r="J974" s="7">
        <v>4</v>
      </c>
      <c r="K974" s="7">
        <v>2021</v>
      </c>
      <c r="L974" s="3">
        <v>96346.53</v>
      </c>
      <c r="M974" s="9" t="s">
        <v>1960</v>
      </c>
      <c r="N974" s="2" t="s">
        <v>1852</v>
      </c>
      <c r="O974" s="3">
        <v>7876553006</v>
      </c>
      <c r="P974" t="s">
        <v>12</v>
      </c>
      <c r="Q974">
        <v>2</v>
      </c>
      <c r="R974" t="s">
        <v>1962</v>
      </c>
    </row>
    <row r="975" spans="1:18" x14ac:dyDescent="0.35">
      <c r="A975" t="s">
        <v>1004</v>
      </c>
      <c r="B975" t="s">
        <v>22</v>
      </c>
      <c r="C975" t="s">
        <v>26</v>
      </c>
      <c r="D975" t="s">
        <v>1923</v>
      </c>
      <c r="E975" s="3">
        <v>30</v>
      </c>
      <c r="F975" t="s">
        <v>1823</v>
      </c>
      <c r="G975" t="s">
        <v>1824</v>
      </c>
      <c r="H975" t="s">
        <v>19</v>
      </c>
      <c r="I975" s="1" t="s">
        <v>1795</v>
      </c>
      <c r="J975" s="7">
        <v>5</v>
      </c>
      <c r="K975" s="7">
        <v>2020</v>
      </c>
      <c r="L975" s="3">
        <v>116680.63</v>
      </c>
      <c r="M975" s="9" t="s">
        <v>1960</v>
      </c>
      <c r="N975" s="2" t="s">
        <v>1858</v>
      </c>
      <c r="O975" s="3">
        <v>3095055604</v>
      </c>
      <c r="P975" t="s">
        <v>15</v>
      </c>
      <c r="Q975">
        <v>4</v>
      </c>
      <c r="R975" t="s">
        <v>1962</v>
      </c>
    </row>
    <row r="976" spans="1:18" x14ac:dyDescent="0.35">
      <c r="A976" t="s">
        <v>1005</v>
      </c>
      <c r="B976" t="s">
        <v>42</v>
      </c>
      <c r="C976" t="s">
        <v>14</v>
      </c>
      <c r="D976" t="s">
        <v>1936</v>
      </c>
      <c r="E976" s="3">
        <v>25</v>
      </c>
      <c r="F976" t="s">
        <v>1815</v>
      </c>
      <c r="G976" t="s">
        <v>1820</v>
      </c>
      <c r="H976" t="s">
        <v>23</v>
      </c>
      <c r="I976" s="1" t="s">
        <v>1796</v>
      </c>
      <c r="J976" s="7">
        <v>0</v>
      </c>
      <c r="K976" s="7">
        <v>2024</v>
      </c>
      <c r="L976" s="3">
        <v>76343.56</v>
      </c>
      <c r="M976" s="9" t="s">
        <v>1959</v>
      </c>
      <c r="N976" s="2" t="s">
        <v>1871</v>
      </c>
      <c r="O976" s="3">
        <v>7121988191</v>
      </c>
      <c r="P976" t="s">
        <v>15</v>
      </c>
      <c r="Q976">
        <v>4</v>
      </c>
      <c r="R976" t="s">
        <v>1963</v>
      </c>
    </row>
    <row r="977" spans="1:18" x14ac:dyDescent="0.35">
      <c r="A977" t="s">
        <v>1006</v>
      </c>
      <c r="B977" t="s">
        <v>17</v>
      </c>
      <c r="C977" t="s">
        <v>35</v>
      </c>
      <c r="D977" t="s">
        <v>1925</v>
      </c>
      <c r="E977" s="3">
        <v>30</v>
      </c>
      <c r="F977" t="s">
        <v>1821</v>
      </c>
      <c r="G977" t="s">
        <v>1818</v>
      </c>
      <c r="H977" t="s">
        <v>23</v>
      </c>
      <c r="I977" s="1" t="s">
        <v>1678</v>
      </c>
      <c r="J977" s="7">
        <v>0</v>
      </c>
      <c r="K977" s="7">
        <v>2024</v>
      </c>
      <c r="L977" s="3">
        <v>99424.14</v>
      </c>
      <c r="M977" s="9" t="s">
        <v>1960</v>
      </c>
      <c r="N977" s="2" t="s">
        <v>1860</v>
      </c>
      <c r="O977" s="3">
        <v>7788519052</v>
      </c>
      <c r="P977" t="s">
        <v>15</v>
      </c>
      <c r="Q977">
        <v>4</v>
      </c>
      <c r="R977" t="s">
        <v>1963</v>
      </c>
    </row>
    <row r="978" spans="1:18" x14ac:dyDescent="0.35">
      <c r="A978" t="s">
        <v>1007</v>
      </c>
      <c r="B978" t="s">
        <v>34</v>
      </c>
      <c r="C978" t="s">
        <v>29</v>
      </c>
      <c r="D978" t="s">
        <v>1909</v>
      </c>
      <c r="E978" s="3">
        <v>35</v>
      </c>
      <c r="F978" t="s">
        <v>1813</v>
      </c>
      <c r="G978" t="s">
        <v>1820</v>
      </c>
      <c r="H978" t="s">
        <v>23</v>
      </c>
      <c r="I978" s="1" t="s">
        <v>1797</v>
      </c>
      <c r="J978" s="7">
        <v>1</v>
      </c>
      <c r="K978" s="7">
        <v>2024</v>
      </c>
      <c r="L978" s="3">
        <v>57656.74</v>
      </c>
      <c r="M978" s="9" t="s">
        <v>1958</v>
      </c>
      <c r="N978" s="2" t="s">
        <v>1844</v>
      </c>
      <c r="O978" s="3">
        <v>4864010423</v>
      </c>
      <c r="P978" t="s">
        <v>20</v>
      </c>
      <c r="Q978">
        <v>3</v>
      </c>
      <c r="R978" t="s">
        <v>1962</v>
      </c>
    </row>
    <row r="979" spans="1:18" x14ac:dyDescent="0.35">
      <c r="A979" t="s">
        <v>1008</v>
      </c>
      <c r="B979" t="s">
        <v>40</v>
      </c>
      <c r="C979" t="s">
        <v>29</v>
      </c>
      <c r="D979" t="s">
        <v>1942</v>
      </c>
      <c r="E979" s="3">
        <v>40</v>
      </c>
      <c r="F979" t="s">
        <v>1821</v>
      </c>
      <c r="G979" t="s">
        <v>1822</v>
      </c>
      <c r="H979" t="s">
        <v>19</v>
      </c>
      <c r="I979" s="1" t="s">
        <v>1365</v>
      </c>
      <c r="J979" s="7">
        <v>5</v>
      </c>
      <c r="K979" s="7">
        <v>2020</v>
      </c>
      <c r="L979" s="3">
        <v>77396.94</v>
      </c>
      <c r="M979" s="9" t="s">
        <v>1959</v>
      </c>
      <c r="N979" s="2" t="s">
        <v>1877</v>
      </c>
      <c r="O979" s="3">
        <v>6245618516</v>
      </c>
      <c r="P979" t="s">
        <v>15</v>
      </c>
      <c r="Q979">
        <v>4</v>
      </c>
      <c r="R979" t="s">
        <v>1962</v>
      </c>
    </row>
    <row r="980" spans="1:18" x14ac:dyDescent="0.35">
      <c r="A980" t="s">
        <v>1009</v>
      </c>
      <c r="B980" t="s">
        <v>42</v>
      </c>
      <c r="C980" t="s">
        <v>29</v>
      </c>
      <c r="D980" t="s">
        <v>1908</v>
      </c>
      <c r="E980" s="3">
        <v>30</v>
      </c>
      <c r="F980" t="s">
        <v>1813</v>
      </c>
      <c r="G980" t="s">
        <v>1814</v>
      </c>
      <c r="H980" t="s">
        <v>23</v>
      </c>
      <c r="I980" s="1" t="s">
        <v>1798</v>
      </c>
      <c r="J980" s="7">
        <v>4</v>
      </c>
      <c r="K980" s="7">
        <v>2021</v>
      </c>
      <c r="L980" s="3">
        <v>54299.68</v>
      </c>
      <c r="M980" s="9" t="s">
        <v>1958</v>
      </c>
      <c r="N980" s="2" t="s">
        <v>1843</v>
      </c>
      <c r="O980" s="3">
        <v>4460045211</v>
      </c>
      <c r="P980" t="s">
        <v>12</v>
      </c>
      <c r="Q980">
        <v>2</v>
      </c>
      <c r="R980" t="s">
        <v>1963</v>
      </c>
    </row>
    <row r="981" spans="1:18" x14ac:dyDescent="0.35">
      <c r="A981" t="s">
        <v>1010</v>
      </c>
      <c r="B981" t="s">
        <v>34</v>
      </c>
      <c r="C981" t="s">
        <v>50</v>
      </c>
      <c r="D981" t="s">
        <v>1954</v>
      </c>
      <c r="E981" s="3">
        <v>35</v>
      </c>
      <c r="F981" t="s">
        <v>1823</v>
      </c>
      <c r="G981" t="s">
        <v>1818</v>
      </c>
      <c r="H981" t="s">
        <v>19</v>
      </c>
      <c r="I981" s="1" t="s">
        <v>1799</v>
      </c>
      <c r="J981" s="7">
        <v>5</v>
      </c>
      <c r="K981" s="7">
        <v>2020</v>
      </c>
      <c r="L981" s="3">
        <v>103563.58</v>
      </c>
      <c r="M981" s="9" t="s">
        <v>1960</v>
      </c>
      <c r="N981" s="2" t="s">
        <v>1889</v>
      </c>
      <c r="O981" s="3">
        <v>8991511454</v>
      </c>
      <c r="P981" t="s">
        <v>15</v>
      </c>
      <c r="Q981">
        <v>4</v>
      </c>
      <c r="R981" t="s">
        <v>1962</v>
      </c>
    </row>
    <row r="982" spans="1:18" x14ac:dyDescent="0.35">
      <c r="A982" t="s">
        <v>1011</v>
      </c>
      <c r="B982" t="s">
        <v>42</v>
      </c>
      <c r="C982" t="s">
        <v>14</v>
      </c>
      <c r="D982" t="s">
        <v>1936</v>
      </c>
      <c r="E982" s="3">
        <v>25</v>
      </c>
      <c r="F982" t="s">
        <v>1815</v>
      </c>
      <c r="G982" t="s">
        <v>1814</v>
      </c>
      <c r="H982" t="s">
        <v>23</v>
      </c>
      <c r="I982" s="1" t="s">
        <v>1420</v>
      </c>
      <c r="J982" s="7">
        <v>3</v>
      </c>
      <c r="K982" s="7">
        <v>2022</v>
      </c>
      <c r="L982" s="3">
        <v>74588.850000000006</v>
      </c>
      <c r="M982" s="9" t="s">
        <v>1959</v>
      </c>
      <c r="N982" s="2" t="s">
        <v>1871</v>
      </c>
      <c r="O982" s="3">
        <v>1293913043</v>
      </c>
      <c r="P982" t="s">
        <v>12</v>
      </c>
      <c r="Q982">
        <v>2</v>
      </c>
      <c r="R982" t="s">
        <v>1963</v>
      </c>
    </row>
    <row r="983" spans="1:18" x14ac:dyDescent="0.35">
      <c r="A983" t="s">
        <v>1012</v>
      </c>
      <c r="B983" t="s">
        <v>37</v>
      </c>
      <c r="C983" t="s">
        <v>29</v>
      </c>
      <c r="D983" t="s">
        <v>1912</v>
      </c>
      <c r="E983" s="3">
        <v>30</v>
      </c>
      <c r="F983" t="s">
        <v>1813</v>
      </c>
      <c r="G983" t="s">
        <v>1814</v>
      </c>
      <c r="H983" t="s">
        <v>19</v>
      </c>
      <c r="I983" s="1" t="s">
        <v>1800</v>
      </c>
      <c r="J983" s="7">
        <v>5</v>
      </c>
      <c r="K983" s="7">
        <v>2020</v>
      </c>
      <c r="L983" s="3">
        <v>113727.23</v>
      </c>
      <c r="M983" s="9" t="s">
        <v>1960</v>
      </c>
      <c r="N983" s="2" t="s">
        <v>1847</v>
      </c>
      <c r="O983" s="3">
        <v>8818984840</v>
      </c>
      <c r="P983" t="s">
        <v>27</v>
      </c>
      <c r="Q983">
        <v>1</v>
      </c>
      <c r="R983" t="s">
        <v>1963</v>
      </c>
    </row>
    <row r="984" spans="1:18" x14ac:dyDescent="0.35">
      <c r="A984" t="s">
        <v>1013</v>
      </c>
      <c r="B984" t="s">
        <v>22</v>
      </c>
      <c r="C984" t="s">
        <v>14</v>
      </c>
      <c r="D984" t="s">
        <v>1927</v>
      </c>
      <c r="E984" s="3">
        <v>25</v>
      </c>
      <c r="F984" t="s">
        <v>1823</v>
      </c>
      <c r="G984" t="s">
        <v>1822</v>
      </c>
      <c r="H984" t="s">
        <v>11</v>
      </c>
      <c r="I984" s="1" t="s">
        <v>1801</v>
      </c>
      <c r="J984" s="7">
        <v>2</v>
      </c>
      <c r="K984" s="7">
        <v>2023</v>
      </c>
      <c r="L984" s="3">
        <v>72828.179999999993</v>
      </c>
      <c r="M984" s="9" t="s">
        <v>1959</v>
      </c>
      <c r="N984" s="2" t="s">
        <v>1862</v>
      </c>
      <c r="O984" s="3">
        <v>6046154020</v>
      </c>
      <c r="P984" t="s">
        <v>20</v>
      </c>
      <c r="Q984">
        <v>3</v>
      </c>
      <c r="R984" t="s">
        <v>1963</v>
      </c>
    </row>
    <row r="985" spans="1:18" x14ac:dyDescent="0.35">
      <c r="A985" t="s">
        <v>1014</v>
      </c>
      <c r="B985" t="s">
        <v>42</v>
      </c>
      <c r="C985" t="s">
        <v>18</v>
      </c>
      <c r="D985" t="s">
        <v>1906</v>
      </c>
      <c r="E985" s="3">
        <v>30</v>
      </c>
      <c r="F985" t="s">
        <v>1821</v>
      </c>
      <c r="G985" t="s">
        <v>1820</v>
      </c>
      <c r="H985" t="s">
        <v>23</v>
      </c>
      <c r="I985" s="1" t="s">
        <v>1493</v>
      </c>
      <c r="J985" s="7">
        <v>5</v>
      </c>
      <c r="K985" s="7">
        <v>2020</v>
      </c>
      <c r="L985" s="3">
        <v>98717.09</v>
      </c>
      <c r="M985" s="9" t="s">
        <v>1960</v>
      </c>
      <c r="N985" s="2" t="s">
        <v>1841</v>
      </c>
      <c r="O985" s="3">
        <v>1901707567</v>
      </c>
      <c r="P985" t="s">
        <v>27</v>
      </c>
      <c r="Q985">
        <v>1</v>
      </c>
      <c r="R985" t="s">
        <v>1963</v>
      </c>
    </row>
    <row r="986" spans="1:18" x14ac:dyDescent="0.35">
      <c r="A986" t="s">
        <v>1015</v>
      </c>
      <c r="B986" t="s">
        <v>25</v>
      </c>
      <c r="C986" t="s">
        <v>29</v>
      </c>
      <c r="D986" t="s">
        <v>1932</v>
      </c>
      <c r="E986" s="3">
        <v>40</v>
      </c>
      <c r="F986" t="s">
        <v>1821</v>
      </c>
      <c r="G986" t="s">
        <v>1820</v>
      </c>
      <c r="H986" t="s">
        <v>23</v>
      </c>
      <c r="I986" s="1" t="s">
        <v>1282</v>
      </c>
      <c r="J986" s="7">
        <v>2</v>
      </c>
      <c r="K986" s="7">
        <v>2023</v>
      </c>
      <c r="L986" s="3">
        <v>56840.800000000003</v>
      </c>
      <c r="M986" s="9" t="s">
        <v>1958</v>
      </c>
      <c r="N986" s="2" t="s">
        <v>1867</v>
      </c>
      <c r="O986" s="3">
        <v>1429831521</v>
      </c>
      <c r="P986" t="s">
        <v>27</v>
      </c>
      <c r="Q986">
        <v>1</v>
      </c>
      <c r="R986" t="s">
        <v>1962</v>
      </c>
    </row>
    <row r="987" spans="1:18" x14ac:dyDescent="0.35">
      <c r="A987" t="s">
        <v>1016</v>
      </c>
      <c r="B987" t="s">
        <v>37</v>
      </c>
      <c r="C987" t="s">
        <v>35</v>
      </c>
      <c r="D987" t="s">
        <v>1937</v>
      </c>
      <c r="E987" s="3">
        <v>35</v>
      </c>
      <c r="F987" t="s">
        <v>1815</v>
      </c>
      <c r="G987" t="s">
        <v>1824</v>
      </c>
      <c r="H987" t="s">
        <v>19</v>
      </c>
      <c r="I987" s="1" t="s">
        <v>1802</v>
      </c>
      <c r="J987" s="7">
        <v>3</v>
      </c>
      <c r="K987" s="7">
        <v>2021</v>
      </c>
      <c r="L987" s="3">
        <v>61663.91</v>
      </c>
      <c r="M987" s="9" t="s">
        <v>1959</v>
      </c>
      <c r="N987" s="2" t="s">
        <v>1872</v>
      </c>
      <c r="O987" s="3">
        <v>9107322835</v>
      </c>
      <c r="P987" t="s">
        <v>12</v>
      </c>
      <c r="Q987">
        <v>2</v>
      </c>
      <c r="R987" t="s">
        <v>1962</v>
      </c>
    </row>
    <row r="988" spans="1:18" x14ac:dyDescent="0.35">
      <c r="A988" t="s">
        <v>1017</v>
      </c>
      <c r="B988" t="s">
        <v>42</v>
      </c>
      <c r="C988" t="s">
        <v>14</v>
      </c>
      <c r="D988" t="s">
        <v>1936</v>
      </c>
      <c r="E988" s="3">
        <v>30</v>
      </c>
      <c r="F988" t="s">
        <v>1815</v>
      </c>
      <c r="G988" t="s">
        <v>1818</v>
      </c>
      <c r="H988" t="s">
        <v>11</v>
      </c>
      <c r="I988" s="1" t="s">
        <v>1803</v>
      </c>
      <c r="J988" s="7">
        <v>1</v>
      </c>
      <c r="K988" s="7">
        <v>2024</v>
      </c>
      <c r="L988" s="3">
        <v>109523.4</v>
      </c>
      <c r="M988" s="9" t="s">
        <v>1960</v>
      </c>
      <c r="N988" s="2" t="s">
        <v>1871</v>
      </c>
      <c r="O988" s="3">
        <v>849378305</v>
      </c>
      <c r="P988" t="s">
        <v>27</v>
      </c>
      <c r="Q988">
        <v>1</v>
      </c>
      <c r="R988" t="s">
        <v>1962</v>
      </c>
    </row>
    <row r="989" spans="1:18" x14ac:dyDescent="0.35">
      <c r="A989" t="s">
        <v>1018</v>
      </c>
      <c r="B989" t="s">
        <v>22</v>
      </c>
      <c r="C989" t="s">
        <v>14</v>
      </c>
      <c r="D989" t="s">
        <v>1927</v>
      </c>
      <c r="E989" s="3">
        <v>25</v>
      </c>
      <c r="F989" t="s">
        <v>1823</v>
      </c>
      <c r="G989" t="s">
        <v>1824</v>
      </c>
      <c r="H989" t="s">
        <v>23</v>
      </c>
      <c r="I989" s="1" t="s">
        <v>1185</v>
      </c>
      <c r="J989" s="7">
        <v>1</v>
      </c>
      <c r="K989" s="7">
        <v>2024</v>
      </c>
      <c r="L989" s="3">
        <v>65812.02</v>
      </c>
      <c r="M989" s="9" t="s">
        <v>1959</v>
      </c>
      <c r="N989" s="2" t="s">
        <v>1862</v>
      </c>
      <c r="O989" s="3">
        <v>3963845268</v>
      </c>
      <c r="P989" t="s">
        <v>12</v>
      </c>
      <c r="Q989">
        <v>2</v>
      </c>
      <c r="R989" t="s">
        <v>1962</v>
      </c>
    </row>
    <row r="990" spans="1:18" x14ac:dyDescent="0.35">
      <c r="A990" t="s">
        <v>1019</v>
      </c>
      <c r="B990" t="s">
        <v>9</v>
      </c>
      <c r="C990" t="s">
        <v>35</v>
      </c>
      <c r="D990" t="s">
        <v>1935</v>
      </c>
      <c r="E990" s="3">
        <v>30</v>
      </c>
      <c r="F990" t="s">
        <v>1819</v>
      </c>
      <c r="G990" t="s">
        <v>1824</v>
      </c>
      <c r="H990" t="s">
        <v>23</v>
      </c>
      <c r="I990" s="1" t="s">
        <v>1804</v>
      </c>
      <c r="J990" s="7">
        <v>4</v>
      </c>
      <c r="K990" s="7">
        <v>2021</v>
      </c>
      <c r="L990" s="3">
        <v>54708.88</v>
      </c>
      <c r="M990" s="9" t="s">
        <v>1958</v>
      </c>
      <c r="N990" s="2" t="s">
        <v>1870</v>
      </c>
      <c r="O990" s="3">
        <v>6944391648</v>
      </c>
      <c r="P990" t="s">
        <v>15</v>
      </c>
      <c r="Q990">
        <v>4</v>
      </c>
      <c r="R990" t="s">
        <v>1962</v>
      </c>
    </row>
    <row r="991" spans="1:18" x14ac:dyDescent="0.35">
      <c r="A991" t="s">
        <v>1020</v>
      </c>
      <c r="B991" t="s">
        <v>40</v>
      </c>
      <c r="C991" t="s">
        <v>29</v>
      </c>
      <c r="D991" t="s">
        <v>1942</v>
      </c>
      <c r="E991" s="3">
        <v>40</v>
      </c>
      <c r="F991" t="s">
        <v>1817</v>
      </c>
      <c r="G991" t="s">
        <v>1814</v>
      </c>
      <c r="H991" t="s">
        <v>11</v>
      </c>
      <c r="I991" s="1" t="s">
        <v>1498</v>
      </c>
      <c r="J991" s="7">
        <v>2</v>
      </c>
      <c r="K991" s="7">
        <v>2023</v>
      </c>
      <c r="L991" s="3">
        <v>107661.73</v>
      </c>
      <c r="M991" s="9" t="s">
        <v>1960</v>
      </c>
      <c r="N991" s="2" t="s">
        <v>1877</v>
      </c>
      <c r="O991" s="3">
        <v>7016934291</v>
      </c>
      <c r="P991" t="s">
        <v>15</v>
      </c>
      <c r="Q991">
        <v>4</v>
      </c>
      <c r="R991" t="s">
        <v>1962</v>
      </c>
    </row>
    <row r="992" spans="1:18" x14ac:dyDescent="0.35">
      <c r="A992" t="s">
        <v>1021</v>
      </c>
      <c r="B992" t="s">
        <v>22</v>
      </c>
      <c r="C992" t="s">
        <v>35</v>
      </c>
      <c r="D992" t="s">
        <v>1948</v>
      </c>
      <c r="E992" s="3">
        <v>40</v>
      </c>
      <c r="F992" t="s">
        <v>1813</v>
      </c>
      <c r="G992" t="s">
        <v>1824</v>
      </c>
      <c r="H992" t="s">
        <v>23</v>
      </c>
      <c r="I992" s="1" t="s">
        <v>1784</v>
      </c>
      <c r="J992" s="7">
        <v>4</v>
      </c>
      <c r="K992" s="7">
        <v>2021</v>
      </c>
      <c r="L992" s="3">
        <v>79002</v>
      </c>
      <c r="M992" s="9" t="s">
        <v>1959</v>
      </c>
      <c r="N992" s="2" t="s">
        <v>1883</v>
      </c>
      <c r="O992" s="3">
        <v>9132033015</v>
      </c>
      <c r="P992" t="s">
        <v>12</v>
      </c>
      <c r="Q992">
        <v>2</v>
      </c>
      <c r="R992" t="s">
        <v>1962</v>
      </c>
    </row>
    <row r="993" spans="1:18" x14ac:dyDescent="0.35">
      <c r="A993" t="s">
        <v>1022</v>
      </c>
      <c r="B993" t="s">
        <v>40</v>
      </c>
      <c r="C993" t="s">
        <v>14</v>
      </c>
      <c r="D993" t="s">
        <v>1953</v>
      </c>
      <c r="E993" s="3">
        <v>30</v>
      </c>
      <c r="F993" t="s">
        <v>1817</v>
      </c>
      <c r="G993" t="s">
        <v>1816</v>
      </c>
      <c r="H993" t="s">
        <v>19</v>
      </c>
      <c r="I993" s="1" t="s">
        <v>1805</v>
      </c>
      <c r="J993" s="7">
        <v>2</v>
      </c>
      <c r="K993" s="7">
        <v>2023</v>
      </c>
      <c r="L993" s="3">
        <v>86135.69</v>
      </c>
      <c r="M993" s="9" t="s">
        <v>1960</v>
      </c>
      <c r="N993" s="2" t="s">
        <v>1888</v>
      </c>
      <c r="O993" s="3">
        <v>2341903105</v>
      </c>
      <c r="P993" t="s">
        <v>15</v>
      </c>
      <c r="Q993">
        <v>4</v>
      </c>
      <c r="R993" t="s">
        <v>1963</v>
      </c>
    </row>
    <row r="994" spans="1:18" x14ac:dyDescent="0.35">
      <c r="A994" t="s">
        <v>1023</v>
      </c>
      <c r="B994" t="s">
        <v>40</v>
      </c>
      <c r="C994" t="s">
        <v>35</v>
      </c>
      <c r="D994" t="s">
        <v>1915</v>
      </c>
      <c r="E994" s="3">
        <v>30</v>
      </c>
      <c r="F994" t="s">
        <v>1813</v>
      </c>
      <c r="G994" t="s">
        <v>1818</v>
      </c>
      <c r="H994" t="s">
        <v>23</v>
      </c>
      <c r="I994" s="1" t="s">
        <v>1806</v>
      </c>
      <c r="J994" s="7">
        <v>4</v>
      </c>
      <c r="K994" s="7">
        <v>2021</v>
      </c>
      <c r="L994" s="3">
        <v>115601.4</v>
      </c>
      <c r="M994" s="9" t="s">
        <v>1960</v>
      </c>
      <c r="N994" s="2" t="s">
        <v>1850</v>
      </c>
      <c r="O994" s="3">
        <v>1537221555</v>
      </c>
      <c r="P994" t="s">
        <v>20</v>
      </c>
      <c r="Q994">
        <v>3</v>
      </c>
      <c r="R994" t="s">
        <v>1962</v>
      </c>
    </row>
    <row r="995" spans="1:18" x14ac:dyDescent="0.35">
      <c r="A995" t="s">
        <v>1024</v>
      </c>
      <c r="B995" t="s">
        <v>42</v>
      </c>
      <c r="C995" t="s">
        <v>14</v>
      </c>
      <c r="D995" t="s">
        <v>1936</v>
      </c>
      <c r="E995" s="3">
        <v>30</v>
      </c>
      <c r="F995" t="s">
        <v>1813</v>
      </c>
      <c r="G995" t="s">
        <v>1818</v>
      </c>
      <c r="H995" t="s">
        <v>11</v>
      </c>
      <c r="I995" s="1" t="s">
        <v>1807</v>
      </c>
      <c r="J995" s="7">
        <v>3</v>
      </c>
      <c r="K995" s="7">
        <v>2022</v>
      </c>
      <c r="L995" s="3">
        <v>64045.36</v>
      </c>
      <c r="M995" s="9" t="s">
        <v>1959</v>
      </c>
      <c r="N995" s="2" t="s">
        <v>1871</v>
      </c>
      <c r="O995" s="3">
        <v>6847323652</v>
      </c>
      <c r="P995" t="s">
        <v>27</v>
      </c>
      <c r="Q995">
        <v>1</v>
      </c>
      <c r="R995" t="s">
        <v>1962</v>
      </c>
    </row>
    <row r="996" spans="1:18" x14ac:dyDescent="0.35">
      <c r="A996" t="s">
        <v>1025</v>
      </c>
      <c r="B996" t="s">
        <v>37</v>
      </c>
      <c r="C996" t="s">
        <v>14</v>
      </c>
      <c r="D996" t="s">
        <v>1938</v>
      </c>
      <c r="E996" s="3">
        <v>30</v>
      </c>
      <c r="F996" t="s">
        <v>1813</v>
      </c>
      <c r="G996" t="s">
        <v>1818</v>
      </c>
      <c r="H996" t="s">
        <v>23</v>
      </c>
      <c r="I996" s="1" t="s">
        <v>1808</v>
      </c>
      <c r="J996" s="7">
        <v>1</v>
      </c>
      <c r="K996" s="7">
        <v>2024</v>
      </c>
      <c r="L996" s="3">
        <v>80477.210000000006</v>
      </c>
      <c r="M996" s="9" t="s">
        <v>1959</v>
      </c>
      <c r="N996" s="2" t="s">
        <v>1873</v>
      </c>
      <c r="O996" s="3">
        <v>3774604066</v>
      </c>
      <c r="P996" t="s">
        <v>20</v>
      </c>
      <c r="Q996">
        <v>3</v>
      </c>
      <c r="R996" t="s">
        <v>1963</v>
      </c>
    </row>
    <row r="997" spans="1:18" x14ac:dyDescent="0.35">
      <c r="A997" t="s">
        <v>1026</v>
      </c>
      <c r="B997" t="s">
        <v>9</v>
      </c>
      <c r="C997" t="s">
        <v>18</v>
      </c>
      <c r="D997" t="s">
        <v>1899</v>
      </c>
      <c r="E997" s="3">
        <v>30</v>
      </c>
      <c r="F997" t="s">
        <v>1815</v>
      </c>
      <c r="G997" t="s">
        <v>1814</v>
      </c>
      <c r="H997" t="s">
        <v>23</v>
      </c>
      <c r="I997" s="1" t="s">
        <v>1809</v>
      </c>
      <c r="J997" s="7">
        <v>2</v>
      </c>
      <c r="K997" s="7">
        <v>2023</v>
      </c>
      <c r="L997" s="3">
        <v>61240.9</v>
      </c>
      <c r="M997" s="9" t="s">
        <v>1959</v>
      </c>
      <c r="N997" s="2" t="s">
        <v>1834</v>
      </c>
      <c r="O997" s="3">
        <v>2007843613</v>
      </c>
      <c r="P997" t="s">
        <v>27</v>
      </c>
      <c r="Q997">
        <v>1</v>
      </c>
      <c r="R997" t="s">
        <v>1962</v>
      </c>
    </row>
    <row r="998" spans="1:18" x14ac:dyDescent="0.35">
      <c r="A998" t="s">
        <v>1027</v>
      </c>
      <c r="B998" t="s">
        <v>37</v>
      </c>
      <c r="C998" t="s">
        <v>62</v>
      </c>
      <c r="D998" t="s">
        <v>1949</v>
      </c>
      <c r="E998" s="3">
        <v>40</v>
      </c>
      <c r="F998" t="s">
        <v>1817</v>
      </c>
      <c r="G998" t="s">
        <v>1816</v>
      </c>
      <c r="H998" t="s">
        <v>11</v>
      </c>
      <c r="I998" s="1" t="s">
        <v>1810</v>
      </c>
      <c r="J998" s="7">
        <v>4</v>
      </c>
      <c r="K998" s="7">
        <v>2021</v>
      </c>
      <c r="L998" s="3">
        <v>51939.29</v>
      </c>
      <c r="M998" s="9" t="s">
        <v>1958</v>
      </c>
      <c r="N998" s="2" t="s">
        <v>1884</v>
      </c>
      <c r="O998" s="3">
        <v>2442607818</v>
      </c>
      <c r="P998" t="s">
        <v>15</v>
      </c>
      <c r="Q998">
        <v>4</v>
      </c>
      <c r="R998" t="s">
        <v>1962</v>
      </c>
    </row>
    <row r="999" spans="1:18" x14ac:dyDescent="0.35">
      <c r="A999" t="s">
        <v>1028</v>
      </c>
      <c r="B999" t="s">
        <v>22</v>
      </c>
      <c r="C999" t="s">
        <v>14</v>
      </c>
      <c r="D999" t="s">
        <v>1927</v>
      </c>
      <c r="E999" s="3">
        <v>40</v>
      </c>
      <c r="F999" t="s">
        <v>1815</v>
      </c>
      <c r="G999" t="s">
        <v>1824</v>
      </c>
      <c r="H999" t="s">
        <v>23</v>
      </c>
      <c r="I999" s="1" t="s">
        <v>1624</v>
      </c>
      <c r="J999" s="7">
        <v>3</v>
      </c>
      <c r="K999" s="7">
        <v>2022</v>
      </c>
      <c r="L999" s="3">
        <v>95284.54</v>
      </c>
      <c r="M999" s="9" t="s">
        <v>1960</v>
      </c>
      <c r="N999" s="2" t="s">
        <v>1862</v>
      </c>
      <c r="O999" s="3">
        <v>7543734763</v>
      </c>
      <c r="P999" t="s">
        <v>20</v>
      </c>
      <c r="Q999">
        <v>3</v>
      </c>
      <c r="R999" t="s">
        <v>1963</v>
      </c>
    </row>
    <row r="1000" spans="1:18" x14ac:dyDescent="0.35">
      <c r="A1000" t="s">
        <v>1029</v>
      </c>
      <c r="B1000" t="s">
        <v>34</v>
      </c>
      <c r="C1000" t="s">
        <v>29</v>
      </c>
      <c r="D1000" t="s">
        <v>1909</v>
      </c>
      <c r="E1000" s="3">
        <v>35</v>
      </c>
      <c r="F1000" t="s">
        <v>1817</v>
      </c>
      <c r="G1000" t="s">
        <v>1816</v>
      </c>
      <c r="H1000" t="s">
        <v>23</v>
      </c>
      <c r="I1000" s="1" t="s">
        <v>1206</v>
      </c>
      <c r="J1000" s="7">
        <v>1</v>
      </c>
      <c r="K1000" s="7">
        <v>2024</v>
      </c>
      <c r="L1000" s="3">
        <v>106247.67</v>
      </c>
      <c r="M1000" s="9" t="s">
        <v>1960</v>
      </c>
      <c r="N1000" s="2" t="s">
        <v>1844</v>
      </c>
      <c r="O1000" s="3">
        <v>2737203762</v>
      </c>
      <c r="P1000" t="s">
        <v>15</v>
      </c>
      <c r="Q1000">
        <v>4</v>
      </c>
      <c r="R1000" t="s">
        <v>1962</v>
      </c>
    </row>
    <row r="1001" spans="1:18" x14ac:dyDescent="0.35">
      <c r="A1001" t="s">
        <v>1030</v>
      </c>
      <c r="B1001" t="s">
        <v>34</v>
      </c>
      <c r="C1001" t="s">
        <v>26</v>
      </c>
      <c r="D1001" t="s">
        <v>1910</v>
      </c>
      <c r="E1001" s="3">
        <v>25</v>
      </c>
      <c r="F1001" t="s">
        <v>1813</v>
      </c>
      <c r="G1001" t="s">
        <v>1820</v>
      </c>
      <c r="H1001" t="s">
        <v>11</v>
      </c>
      <c r="I1001" s="1" t="s">
        <v>1430</v>
      </c>
      <c r="J1001" s="7">
        <v>5</v>
      </c>
      <c r="K1001" s="7">
        <v>2020</v>
      </c>
      <c r="L1001" s="3">
        <v>110170.88</v>
      </c>
      <c r="M1001" s="9" t="s">
        <v>1960</v>
      </c>
      <c r="N1001" s="2" t="s">
        <v>1845</v>
      </c>
      <c r="O1001" s="3">
        <v>8821458413</v>
      </c>
      <c r="P1001" t="s">
        <v>27</v>
      </c>
      <c r="Q1001">
        <v>1</v>
      </c>
      <c r="R1001" t="s">
        <v>1962</v>
      </c>
    </row>
    <row r="1002" spans="1:18" x14ac:dyDescent="0.35">
      <c r="A1002" t="s">
        <v>1031</v>
      </c>
      <c r="B1002" t="s">
        <v>34</v>
      </c>
      <c r="C1002" t="s">
        <v>50</v>
      </c>
      <c r="D1002" t="s">
        <v>1954</v>
      </c>
      <c r="E1002" s="3">
        <v>25</v>
      </c>
      <c r="F1002" t="s">
        <v>1823</v>
      </c>
      <c r="G1002" t="s">
        <v>1818</v>
      </c>
      <c r="H1002" t="s">
        <v>19</v>
      </c>
      <c r="I1002" s="1" t="s">
        <v>1065</v>
      </c>
      <c r="J1002" s="7">
        <v>1</v>
      </c>
      <c r="K1002" s="7">
        <v>2024</v>
      </c>
      <c r="L1002" s="3">
        <v>52615.44</v>
      </c>
      <c r="M1002" s="9" t="s">
        <v>1958</v>
      </c>
      <c r="N1002" s="2" t="s">
        <v>1889</v>
      </c>
      <c r="O1002" s="3">
        <v>8460191343</v>
      </c>
      <c r="P1002" t="s">
        <v>12</v>
      </c>
      <c r="Q1002">
        <v>2</v>
      </c>
      <c r="R1002" t="s">
        <v>1962</v>
      </c>
    </row>
    <row r="1003" spans="1:18" x14ac:dyDescent="0.35">
      <c r="A1003" t="s">
        <v>1032</v>
      </c>
      <c r="B1003" t="s">
        <v>22</v>
      </c>
      <c r="C1003" t="s">
        <v>10</v>
      </c>
      <c r="D1003" t="s">
        <v>1895</v>
      </c>
      <c r="E1003" s="3">
        <v>30</v>
      </c>
      <c r="F1003" t="s">
        <v>1813</v>
      </c>
      <c r="G1003" t="s">
        <v>1824</v>
      </c>
      <c r="H1003" t="s">
        <v>23</v>
      </c>
      <c r="I1003" s="1" t="s">
        <v>1661</v>
      </c>
      <c r="J1003" s="7">
        <v>5</v>
      </c>
      <c r="K1003" s="7">
        <v>2020</v>
      </c>
      <c r="L1003" s="3">
        <v>82547.259999999995</v>
      </c>
      <c r="M1003" s="9" t="s">
        <v>1959</v>
      </c>
      <c r="N1003" s="2" t="s">
        <v>1830</v>
      </c>
      <c r="O1003" s="3">
        <v>3899827801</v>
      </c>
      <c r="P1003" t="s">
        <v>12</v>
      </c>
      <c r="Q1003">
        <v>2</v>
      </c>
      <c r="R1003" t="s">
        <v>1963</v>
      </c>
    </row>
    <row r="1004" spans="1:18" x14ac:dyDescent="0.35">
      <c r="A1004" t="s">
        <v>1033</v>
      </c>
      <c r="B1004" t="s">
        <v>9</v>
      </c>
      <c r="C1004" t="s">
        <v>62</v>
      </c>
      <c r="D1004" t="s">
        <v>1917</v>
      </c>
      <c r="E1004" s="3">
        <v>35</v>
      </c>
      <c r="F1004" t="s">
        <v>1815</v>
      </c>
      <c r="G1004" t="s">
        <v>1824</v>
      </c>
      <c r="H1004" t="s">
        <v>19</v>
      </c>
      <c r="I1004" s="1" t="s">
        <v>1663</v>
      </c>
      <c r="J1004" s="7">
        <v>5</v>
      </c>
      <c r="K1004" s="7">
        <v>2020</v>
      </c>
      <c r="L1004" s="3">
        <v>63049.22</v>
      </c>
      <c r="M1004" s="9" t="s">
        <v>1959</v>
      </c>
      <c r="N1004" s="2" t="s">
        <v>1852</v>
      </c>
      <c r="O1004" s="3">
        <v>586950731</v>
      </c>
      <c r="P1004" t="s">
        <v>20</v>
      </c>
      <c r="Q1004">
        <v>3</v>
      </c>
      <c r="R1004" t="s">
        <v>1962</v>
      </c>
    </row>
    <row r="1005" spans="1:18" x14ac:dyDescent="0.35">
      <c r="A1005" t="s">
        <v>1034</v>
      </c>
      <c r="B1005" t="s">
        <v>25</v>
      </c>
      <c r="C1005" t="s">
        <v>62</v>
      </c>
      <c r="D1005" t="s">
        <v>1922</v>
      </c>
      <c r="E1005" s="3">
        <v>35</v>
      </c>
      <c r="F1005" t="s">
        <v>1823</v>
      </c>
      <c r="G1005" t="s">
        <v>1814</v>
      </c>
      <c r="H1005" t="s">
        <v>19</v>
      </c>
      <c r="I1005" s="1" t="s">
        <v>1533</v>
      </c>
      <c r="J1005" s="7">
        <v>2</v>
      </c>
      <c r="K1005" s="7">
        <v>2023</v>
      </c>
      <c r="L1005" s="3">
        <v>115229.12</v>
      </c>
      <c r="M1005" s="9" t="s">
        <v>1960</v>
      </c>
      <c r="N1005" s="2" t="s">
        <v>1857</v>
      </c>
      <c r="O1005" s="3">
        <v>1464493698</v>
      </c>
      <c r="P1005" t="s">
        <v>15</v>
      </c>
      <c r="Q1005">
        <v>4</v>
      </c>
      <c r="R1005" t="s">
        <v>1962</v>
      </c>
    </row>
    <row r="1006" spans="1:18" x14ac:dyDescent="0.35">
      <c r="A1006" t="s">
        <v>1035</v>
      </c>
      <c r="B1006" t="s">
        <v>42</v>
      </c>
      <c r="C1006" t="s">
        <v>62</v>
      </c>
      <c r="D1006" t="s">
        <v>1921</v>
      </c>
      <c r="E1006" s="3">
        <v>25</v>
      </c>
      <c r="F1006" t="s">
        <v>1813</v>
      </c>
      <c r="G1006" t="s">
        <v>1824</v>
      </c>
      <c r="H1006" t="s">
        <v>19</v>
      </c>
      <c r="I1006" s="1" t="s">
        <v>1407</v>
      </c>
      <c r="J1006" s="7">
        <v>2</v>
      </c>
      <c r="K1006" s="7">
        <v>2023</v>
      </c>
      <c r="L1006" s="3">
        <v>60687.63</v>
      </c>
      <c r="M1006" s="9" t="s">
        <v>1959</v>
      </c>
      <c r="N1006" s="2" t="s">
        <v>1856</v>
      </c>
      <c r="O1006" s="3">
        <v>9516793349</v>
      </c>
      <c r="P1006" t="s">
        <v>15</v>
      </c>
      <c r="Q1006">
        <v>4</v>
      </c>
      <c r="R1006" t="s">
        <v>1963</v>
      </c>
    </row>
    <row r="1007" spans="1:18" x14ac:dyDescent="0.35">
      <c r="A1007" t="s">
        <v>1036</v>
      </c>
      <c r="B1007" t="s">
        <v>25</v>
      </c>
      <c r="C1007" t="s">
        <v>18</v>
      </c>
      <c r="D1007" t="s">
        <v>1898</v>
      </c>
      <c r="E1007" s="3">
        <v>30</v>
      </c>
      <c r="F1007" t="s">
        <v>1815</v>
      </c>
      <c r="G1007" t="s">
        <v>1824</v>
      </c>
      <c r="H1007" t="s">
        <v>23</v>
      </c>
      <c r="I1007" s="1" t="s">
        <v>1623</v>
      </c>
      <c r="J1007" s="7">
        <v>3</v>
      </c>
      <c r="K1007" s="7">
        <v>2022</v>
      </c>
      <c r="L1007" s="3">
        <v>67492.73</v>
      </c>
      <c r="M1007" s="9" t="s">
        <v>1959</v>
      </c>
      <c r="N1007" s="2" t="s">
        <v>1833</v>
      </c>
      <c r="O1007" s="3">
        <v>5573857367</v>
      </c>
      <c r="P1007" t="s">
        <v>20</v>
      </c>
      <c r="Q1007">
        <v>3</v>
      </c>
      <c r="R1007" t="s">
        <v>1962</v>
      </c>
    </row>
    <row r="1008" spans="1:18" x14ac:dyDescent="0.35">
      <c r="A1008" t="s">
        <v>1037</v>
      </c>
      <c r="B1008" t="s">
        <v>42</v>
      </c>
      <c r="C1008" t="s">
        <v>14</v>
      </c>
      <c r="D1008" t="s">
        <v>1936</v>
      </c>
      <c r="E1008" s="3">
        <v>30</v>
      </c>
      <c r="F1008" t="s">
        <v>1823</v>
      </c>
      <c r="G1008" t="s">
        <v>1824</v>
      </c>
      <c r="H1008" t="s">
        <v>23</v>
      </c>
      <c r="I1008" s="1" t="s">
        <v>1332</v>
      </c>
      <c r="J1008" s="7">
        <v>2</v>
      </c>
      <c r="K1008" s="7">
        <v>2023</v>
      </c>
      <c r="L1008" s="3">
        <v>77821.789999999994</v>
      </c>
      <c r="M1008" s="9" t="s">
        <v>1959</v>
      </c>
      <c r="N1008" s="2" t="s">
        <v>1871</v>
      </c>
      <c r="O1008" s="3">
        <v>119236036</v>
      </c>
      <c r="P1008" t="s">
        <v>12</v>
      </c>
      <c r="Q1008">
        <v>2</v>
      </c>
      <c r="R1008" t="s">
        <v>1963</v>
      </c>
    </row>
    <row r="1009" spans="1:18" x14ac:dyDescent="0.35">
      <c r="A1009" t="s">
        <v>1038</v>
      </c>
      <c r="B1009" t="s">
        <v>34</v>
      </c>
      <c r="C1009" t="s">
        <v>18</v>
      </c>
      <c r="D1009" t="s">
        <v>1916</v>
      </c>
      <c r="E1009" s="3">
        <v>35</v>
      </c>
      <c r="F1009" t="s">
        <v>1813</v>
      </c>
      <c r="G1009" t="s">
        <v>1816</v>
      </c>
      <c r="H1009" t="s">
        <v>11</v>
      </c>
      <c r="I1009" s="1" t="s">
        <v>1508</v>
      </c>
      <c r="J1009" s="7">
        <v>3</v>
      </c>
      <c r="K1009" s="7">
        <v>2022</v>
      </c>
      <c r="L1009" s="3">
        <v>69146.95</v>
      </c>
      <c r="M1009" s="9" t="s">
        <v>1959</v>
      </c>
      <c r="N1009" s="2" t="s">
        <v>1851</v>
      </c>
      <c r="O1009" s="3">
        <v>6811872332</v>
      </c>
      <c r="P1009" t="s">
        <v>27</v>
      </c>
      <c r="Q1009">
        <v>1</v>
      </c>
      <c r="R1009" t="s">
        <v>1963</v>
      </c>
    </row>
    <row r="1010" spans="1:18" x14ac:dyDescent="0.35">
      <c r="A1010" t="s">
        <v>1039</v>
      </c>
      <c r="B1010" t="s">
        <v>42</v>
      </c>
      <c r="C1010" t="s">
        <v>14</v>
      </c>
      <c r="D1010" t="s">
        <v>1936</v>
      </c>
      <c r="E1010" s="3">
        <v>35</v>
      </c>
      <c r="F1010" t="s">
        <v>1817</v>
      </c>
      <c r="G1010" t="s">
        <v>1818</v>
      </c>
      <c r="H1010" t="s">
        <v>23</v>
      </c>
      <c r="I1010" s="1" t="s">
        <v>1737</v>
      </c>
      <c r="J1010" s="7">
        <v>2</v>
      </c>
      <c r="K1010" s="7">
        <v>2022</v>
      </c>
      <c r="L1010" s="3">
        <v>90224.82</v>
      </c>
      <c r="M1010" s="9" t="s">
        <v>1960</v>
      </c>
      <c r="N1010" s="2" t="s">
        <v>1871</v>
      </c>
      <c r="O1010" s="3">
        <v>5104096148</v>
      </c>
      <c r="P1010" t="s">
        <v>20</v>
      </c>
      <c r="Q1010">
        <v>3</v>
      </c>
      <c r="R1010" t="s">
        <v>1962</v>
      </c>
    </row>
    <row r="1011" spans="1:18" x14ac:dyDescent="0.35">
      <c r="A1011" t="s">
        <v>1040</v>
      </c>
      <c r="B1011" t="s">
        <v>37</v>
      </c>
      <c r="C1011" t="s">
        <v>29</v>
      </c>
      <c r="D1011" t="s">
        <v>1912</v>
      </c>
      <c r="E1011" s="3">
        <v>30</v>
      </c>
      <c r="F1011" t="s">
        <v>1815</v>
      </c>
      <c r="G1011" t="s">
        <v>1824</v>
      </c>
      <c r="H1011" t="s">
        <v>19</v>
      </c>
      <c r="I1011" s="1" t="s">
        <v>1158</v>
      </c>
      <c r="J1011" s="7">
        <v>1</v>
      </c>
      <c r="K1011" s="7">
        <v>2024</v>
      </c>
      <c r="L1011" s="3">
        <v>62603.98</v>
      </c>
      <c r="M1011" s="9" t="s">
        <v>1959</v>
      </c>
      <c r="N1011" s="2" t="s">
        <v>1847</v>
      </c>
      <c r="O1011" s="3">
        <v>7315391148</v>
      </c>
      <c r="P1011" t="s">
        <v>27</v>
      </c>
      <c r="Q1011">
        <v>1</v>
      </c>
      <c r="R1011" t="s">
        <v>1963</v>
      </c>
    </row>
    <row r="1012" spans="1:18" x14ac:dyDescent="0.35">
      <c r="A1012" t="s">
        <v>1041</v>
      </c>
      <c r="B1012" t="s">
        <v>9</v>
      </c>
      <c r="C1012" t="s">
        <v>18</v>
      </c>
      <c r="D1012" t="s">
        <v>1899</v>
      </c>
      <c r="E1012" s="3">
        <v>35</v>
      </c>
      <c r="F1012" t="s">
        <v>1821</v>
      </c>
      <c r="G1012" t="s">
        <v>1818</v>
      </c>
      <c r="H1012" t="s">
        <v>11</v>
      </c>
      <c r="I1012" s="1" t="s">
        <v>1065</v>
      </c>
      <c r="J1012" s="7">
        <v>1</v>
      </c>
      <c r="K1012" s="7">
        <v>2024</v>
      </c>
      <c r="L1012" s="3">
        <v>71148.27</v>
      </c>
      <c r="M1012" s="9" t="s">
        <v>1959</v>
      </c>
      <c r="N1012" s="2" t="s">
        <v>1834</v>
      </c>
      <c r="O1012" s="3">
        <v>8307482072</v>
      </c>
      <c r="P1012" t="s">
        <v>12</v>
      </c>
      <c r="Q1012">
        <v>2</v>
      </c>
      <c r="R1012" t="s">
        <v>1963</v>
      </c>
    </row>
    <row r="1013" spans="1:18" x14ac:dyDescent="0.35">
      <c r="A1013" t="s">
        <v>1042</v>
      </c>
      <c r="B1013" t="s">
        <v>37</v>
      </c>
      <c r="C1013" t="s">
        <v>18</v>
      </c>
      <c r="D1013" t="s">
        <v>1941</v>
      </c>
      <c r="E1013" s="3">
        <v>40</v>
      </c>
      <c r="F1013" t="s">
        <v>1817</v>
      </c>
      <c r="G1013" t="s">
        <v>1814</v>
      </c>
      <c r="H1013" t="s">
        <v>23</v>
      </c>
      <c r="I1013" s="1" t="s">
        <v>1124</v>
      </c>
      <c r="J1013" s="7">
        <v>3</v>
      </c>
      <c r="K1013" s="7">
        <v>2022</v>
      </c>
      <c r="L1013" s="3">
        <v>52031.74</v>
      </c>
      <c r="M1013" s="9" t="s">
        <v>1958</v>
      </c>
      <c r="N1013" s="2" t="s">
        <v>1876</v>
      </c>
      <c r="O1013" s="3">
        <v>6511893939</v>
      </c>
      <c r="P1013" t="s">
        <v>15</v>
      </c>
      <c r="Q1013">
        <v>4</v>
      </c>
      <c r="R1013" t="s">
        <v>1962</v>
      </c>
    </row>
    <row r="1014" spans="1:18" x14ac:dyDescent="0.35">
      <c r="A1014" t="s">
        <v>1043</v>
      </c>
      <c r="B1014" t="s">
        <v>42</v>
      </c>
      <c r="C1014" t="s">
        <v>50</v>
      </c>
      <c r="D1014" t="s">
        <v>1930</v>
      </c>
      <c r="E1014" s="3">
        <v>35</v>
      </c>
      <c r="F1014" t="s">
        <v>1813</v>
      </c>
      <c r="G1014" t="s">
        <v>1820</v>
      </c>
      <c r="H1014" t="s">
        <v>23</v>
      </c>
      <c r="I1014" s="1" t="s">
        <v>1594</v>
      </c>
      <c r="J1014" s="7">
        <v>2</v>
      </c>
      <c r="K1014" s="7">
        <v>2023</v>
      </c>
      <c r="L1014" s="3">
        <v>0</v>
      </c>
      <c r="M1014" s="9" t="s">
        <v>1958</v>
      </c>
      <c r="N1014" s="2" t="s">
        <v>1865</v>
      </c>
      <c r="O1014" s="3">
        <v>6557820189</v>
      </c>
      <c r="P1014" t="s">
        <v>12</v>
      </c>
      <c r="Q1014">
        <v>2</v>
      </c>
      <c r="R1014" t="s">
        <v>1963</v>
      </c>
    </row>
    <row r="1015" spans="1:18" x14ac:dyDescent="0.35">
      <c r="A1015" t="s">
        <v>1044</v>
      </c>
      <c r="B1015" t="s">
        <v>22</v>
      </c>
      <c r="C1015" t="s">
        <v>26</v>
      </c>
      <c r="D1015" t="s">
        <v>1923</v>
      </c>
      <c r="E1015" s="3">
        <v>30</v>
      </c>
      <c r="F1015" t="s">
        <v>1823</v>
      </c>
      <c r="G1015" t="s">
        <v>1824</v>
      </c>
      <c r="H1015" t="s">
        <v>19</v>
      </c>
      <c r="I1015" s="1" t="s">
        <v>1795</v>
      </c>
      <c r="J1015" s="7">
        <v>5</v>
      </c>
      <c r="K1015" s="7">
        <v>2020</v>
      </c>
      <c r="L1015" s="3">
        <v>116680.63</v>
      </c>
      <c r="M1015" s="9" t="s">
        <v>1960</v>
      </c>
      <c r="N1015" s="2" t="s">
        <v>1858</v>
      </c>
      <c r="O1015" s="3">
        <v>4322302332</v>
      </c>
      <c r="P1015" t="s">
        <v>20</v>
      </c>
      <c r="Q1015">
        <v>3</v>
      </c>
      <c r="R1015" t="s">
        <v>1963</v>
      </c>
    </row>
    <row r="1016" spans="1:18" x14ac:dyDescent="0.35">
      <c r="A1016" t="s">
        <v>1045</v>
      </c>
      <c r="B1016" t="s">
        <v>42</v>
      </c>
      <c r="C1016" t="s">
        <v>18</v>
      </c>
      <c r="D1016" t="s">
        <v>1906</v>
      </c>
      <c r="E1016" s="3">
        <v>30</v>
      </c>
      <c r="F1016" t="s">
        <v>1815</v>
      </c>
      <c r="G1016" t="s">
        <v>1818</v>
      </c>
      <c r="H1016" t="s">
        <v>19</v>
      </c>
      <c r="I1016" s="1" t="s">
        <v>1779</v>
      </c>
      <c r="J1016" s="7">
        <v>4</v>
      </c>
      <c r="K1016" s="7">
        <v>2021</v>
      </c>
      <c r="L1016" s="3">
        <v>51990.98</v>
      </c>
      <c r="M1016" s="9" t="s">
        <v>1958</v>
      </c>
      <c r="N1016" s="2" t="s">
        <v>1841</v>
      </c>
      <c r="O1016" s="3">
        <v>2470739200</v>
      </c>
      <c r="P1016" t="s">
        <v>15</v>
      </c>
      <c r="Q1016">
        <v>4</v>
      </c>
      <c r="R1016" t="s">
        <v>1962</v>
      </c>
    </row>
    <row r="1017" spans="1:18" x14ac:dyDescent="0.35">
      <c r="A1017" t="s">
        <v>1046</v>
      </c>
      <c r="B1017" t="s">
        <v>37</v>
      </c>
      <c r="C1017" t="s">
        <v>50</v>
      </c>
      <c r="D1017" t="s">
        <v>1913</v>
      </c>
      <c r="E1017" s="3">
        <v>30</v>
      </c>
      <c r="F1017" t="s">
        <v>1823</v>
      </c>
      <c r="G1017" t="s">
        <v>1814</v>
      </c>
      <c r="H1017" t="s">
        <v>11</v>
      </c>
      <c r="I1017" s="1" t="s">
        <v>1564</v>
      </c>
      <c r="J1017" s="7">
        <v>2</v>
      </c>
      <c r="K1017" s="7">
        <v>2023</v>
      </c>
      <c r="L1017" s="3">
        <v>0</v>
      </c>
      <c r="M1017" s="9" t="s">
        <v>1958</v>
      </c>
      <c r="N1017" s="2" t="s">
        <v>1848</v>
      </c>
      <c r="O1017" s="3">
        <v>3546212759</v>
      </c>
      <c r="P1017" t="s">
        <v>20</v>
      </c>
      <c r="Q1017">
        <v>3</v>
      </c>
      <c r="R1017" t="s">
        <v>1962</v>
      </c>
    </row>
    <row r="1018" spans="1:18" x14ac:dyDescent="0.35">
      <c r="A1018" t="s">
        <v>1047</v>
      </c>
      <c r="B1018" t="s">
        <v>37</v>
      </c>
      <c r="C1018" t="s">
        <v>35</v>
      </c>
      <c r="D1018" t="s">
        <v>1937</v>
      </c>
      <c r="E1018" s="3">
        <v>30</v>
      </c>
      <c r="F1018" t="s">
        <v>1819</v>
      </c>
      <c r="G1018" t="s">
        <v>1816</v>
      </c>
      <c r="H1018" t="s">
        <v>23</v>
      </c>
      <c r="I1018" s="1" t="s">
        <v>1106</v>
      </c>
      <c r="J1018" s="7">
        <v>4</v>
      </c>
      <c r="K1018" s="7">
        <v>2021</v>
      </c>
      <c r="L1018" s="3">
        <v>100215.06</v>
      </c>
      <c r="M1018" s="9" t="s">
        <v>1960</v>
      </c>
      <c r="N1018" s="2" t="s">
        <v>1872</v>
      </c>
      <c r="O1018" s="3">
        <v>2508261122</v>
      </c>
      <c r="P1018" t="s">
        <v>20</v>
      </c>
      <c r="Q1018">
        <v>3</v>
      </c>
      <c r="R1018" t="s">
        <v>1962</v>
      </c>
    </row>
    <row r="1019" spans="1:18" x14ac:dyDescent="0.35">
      <c r="A1019" t="s">
        <v>1048</v>
      </c>
      <c r="B1019" t="s">
        <v>34</v>
      </c>
      <c r="C1019" t="s">
        <v>26</v>
      </c>
      <c r="D1019" t="s">
        <v>1910</v>
      </c>
      <c r="E1019" s="3">
        <v>40</v>
      </c>
      <c r="F1019" t="s">
        <v>1815</v>
      </c>
      <c r="G1019" t="s">
        <v>1822</v>
      </c>
      <c r="H1019" t="s">
        <v>11</v>
      </c>
      <c r="I1019" s="1" t="s">
        <v>1749</v>
      </c>
      <c r="J1019" s="7">
        <v>2</v>
      </c>
      <c r="K1019" s="7">
        <v>2023</v>
      </c>
      <c r="L1019" s="3">
        <v>114587.11</v>
      </c>
      <c r="M1019" s="9" t="s">
        <v>1960</v>
      </c>
      <c r="N1019" s="2" t="s">
        <v>1845</v>
      </c>
      <c r="O1019" s="3">
        <v>1261632487</v>
      </c>
      <c r="P1019" t="s">
        <v>12</v>
      </c>
      <c r="Q1019">
        <v>2</v>
      </c>
      <c r="R1019" t="s">
        <v>1963</v>
      </c>
    </row>
    <row r="1020" spans="1:18" x14ac:dyDescent="0.35">
      <c r="A1020" t="s">
        <v>1049</v>
      </c>
      <c r="B1020" t="s">
        <v>17</v>
      </c>
      <c r="C1020" t="s">
        <v>29</v>
      </c>
      <c r="D1020" t="s">
        <v>1897</v>
      </c>
      <c r="E1020" s="3">
        <v>30</v>
      </c>
      <c r="F1020" t="s">
        <v>1823</v>
      </c>
      <c r="G1020" t="s">
        <v>1820</v>
      </c>
      <c r="H1020" t="s">
        <v>23</v>
      </c>
      <c r="I1020" s="1" t="s">
        <v>1678</v>
      </c>
      <c r="J1020" s="7">
        <v>0</v>
      </c>
      <c r="K1020" s="7">
        <v>2024</v>
      </c>
      <c r="L1020" s="3">
        <v>71318.789999999994</v>
      </c>
      <c r="M1020" s="9" t="s">
        <v>1959</v>
      </c>
      <c r="N1020" s="2" t="s">
        <v>1832</v>
      </c>
      <c r="O1020" s="3">
        <v>8995729892</v>
      </c>
      <c r="P1020" t="s">
        <v>20</v>
      </c>
      <c r="Q1020">
        <v>3</v>
      </c>
      <c r="R1020" t="s">
        <v>1962</v>
      </c>
    </row>
    <row r="1021" spans="1:18" x14ac:dyDescent="0.35">
      <c r="A1021" t="s">
        <v>1050</v>
      </c>
      <c r="B1021" t="s">
        <v>40</v>
      </c>
      <c r="C1021" t="s">
        <v>18</v>
      </c>
      <c r="D1021" t="s">
        <v>1947</v>
      </c>
      <c r="E1021" s="3">
        <v>30</v>
      </c>
      <c r="F1021" t="s">
        <v>1813</v>
      </c>
      <c r="G1021" t="s">
        <v>1824</v>
      </c>
      <c r="H1021" t="s">
        <v>19</v>
      </c>
      <c r="I1021" s="1" t="s">
        <v>1352</v>
      </c>
      <c r="J1021" s="7">
        <v>4</v>
      </c>
      <c r="K1021" s="7">
        <v>2021</v>
      </c>
      <c r="L1021" s="3">
        <v>77764.240000000005</v>
      </c>
      <c r="M1021" s="9" t="s">
        <v>1959</v>
      </c>
      <c r="N1021" s="2" t="s">
        <v>1882</v>
      </c>
      <c r="O1021" s="3">
        <v>7629745492</v>
      </c>
      <c r="P1021" t="s">
        <v>12</v>
      </c>
      <c r="Q1021">
        <v>2</v>
      </c>
      <c r="R1021" t="s">
        <v>1963</v>
      </c>
    </row>
  </sheetData>
  <hyperlinks>
    <hyperlink ref="N2" r:id="rId1" xr:uid="{4D4E7A5B-D8EF-411A-85CC-34A9C6A870BB}"/>
  </hyperlinks>
  <pageMargins left="0.7" right="0.7" top="0.75" bottom="0.75" header="0.3" footer="0.3"/>
  <pageSetup paperSize="9" orientation="portrait"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6B0BB-065F-4F34-88C9-863F62C1FA8A}">
  <dimension ref="A1:F79"/>
  <sheetViews>
    <sheetView topLeftCell="A32" zoomScale="98" zoomScaleNormal="98" workbookViewId="0">
      <selection activeCell="I37" sqref="I37"/>
    </sheetView>
  </sheetViews>
  <sheetFormatPr defaultRowHeight="14.5" x14ac:dyDescent="0.35"/>
  <cols>
    <col min="1" max="1" width="19.36328125" bestFit="1" customWidth="1"/>
    <col min="2" max="2" width="20.08984375" bestFit="1" customWidth="1"/>
    <col min="3" max="3" width="27.453125" bestFit="1" customWidth="1"/>
    <col min="5" max="5" width="10.90625" bestFit="1" customWidth="1"/>
    <col min="6" max="6" width="27.453125" bestFit="1" customWidth="1"/>
    <col min="9" max="9" width="10.7265625" bestFit="1" customWidth="1"/>
    <col min="10" max="10" width="13.81640625" bestFit="1" customWidth="1"/>
  </cols>
  <sheetData>
    <row r="1" spans="1:6" x14ac:dyDescent="0.35">
      <c r="A1" s="10" t="s">
        <v>1825</v>
      </c>
      <c r="B1" t="s">
        <v>1964</v>
      </c>
      <c r="E1" s="10" t="s">
        <v>1826</v>
      </c>
      <c r="F1" t="s">
        <v>1964</v>
      </c>
    </row>
    <row r="2" spans="1:6" x14ac:dyDescent="0.35">
      <c r="A2" s="8" t="s">
        <v>1813</v>
      </c>
      <c r="B2" s="9">
        <v>189</v>
      </c>
      <c r="E2" s="8" t="s">
        <v>1816</v>
      </c>
      <c r="F2" s="9">
        <v>153</v>
      </c>
    </row>
    <row r="3" spans="1:6" x14ac:dyDescent="0.35">
      <c r="A3" s="8" t="s">
        <v>1821</v>
      </c>
      <c r="B3" s="9">
        <v>178</v>
      </c>
      <c r="E3" s="8" t="s">
        <v>1822</v>
      </c>
      <c r="F3" s="9">
        <v>161</v>
      </c>
    </row>
    <row r="4" spans="1:6" x14ac:dyDescent="0.35">
      <c r="A4" s="8" t="s">
        <v>1823</v>
      </c>
      <c r="B4" s="9">
        <v>171</v>
      </c>
      <c r="E4" s="8" t="s">
        <v>1824</v>
      </c>
      <c r="F4" s="9">
        <v>165</v>
      </c>
    </row>
    <row r="5" spans="1:6" x14ac:dyDescent="0.35">
      <c r="A5" s="8" t="s">
        <v>1815</v>
      </c>
      <c r="B5" s="9">
        <v>170</v>
      </c>
      <c r="E5" s="8" t="s">
        <v>1818</v>
      </c>
      <c r="F5" s="9">
        <v>169</v>
      </c>
    </row>
    <row r="6" spans="1:6" x14ac:dyDescent="0.35">
      <c r="A6" s="8" t="s">
        <v>1817</v>
      </c>
      <c r="B6" s="9">
        <v>166</v>
      </c>
      <c r="E6" s="8" t="s">
        <v>1820</v>
      </c>
      <c r="F6" s="9">
        <v>185</v>
      </c>
    </row>
    <row r="7" spans="1:6" x14ac:dyDescent="0.35">
      <c r="A7" s="8" t="s">
        <v>1819</v>
      </c>
      <c r="B7" s="9">
        <v>146</v>
      </c>
      <c r="E7" s="8" t="s">
        <v>1814</v>
      </c>
      <c r="F7" s="9">
        <v>187</v>
      </c>
    </row>
    <row r="8" spans="1:6" x14ac:dyDescent="0.35">
      <c r="A8" s="8" t="s">
        <v>1965</v>
      </c>
      <c r="B8" s="9">
        <v>1020</v>
      </c>
      <c r="E8" s="8" t="s">
        <v>1965</v>
      </c>
      <c r="F8" s="9">
        <v>1020</v>
      </c>
    </row>
    <row r="12" spans="1:6" x14ac:dyDescent="0.35">
      <c r="A12" s="10" t="s">
        <v>3</v>
      </c>
      <c r="B12" t="s">
        <v>1964</v>
      </c>
      <c r="E12" s="10" t="s">
        <v>1811</v>
      </c>
      <c r="F12" t="s">
        <v>1977</v>
      </c>
    </row>
    <row r="13" spans="1:6" x14ac:dyDescent="0.35">
      <c r="A13" s="8" t="s">
        <v>23</v>
      </c>
      <c r="B13" s="9">
        <v>312</v>
      </c>
      <c r="E13" s="11">
        <v>30</v>
      </c>
      <c r="F13" s="14">
        <v>2.6201923076923075</v>
      </c>
    </row>
    <row r="14" spans="1:6" x14ac:dyDescent="0.35">
      <c r="A14" s="8" t="s">
        <v>11</v>
      </c>
      <c r="B14" s="9">
        <v>352</v>
      </c>
      <c r="E14" s="11">
        <v>25</v>
      </c>
      <c r="F14" s="14">
        <v>2.5679611650485437</v>
      </c>
    </row>
    <row r="15" spans="1:6" x14ac:dyDescent="0.35">
      <c r="A15" s="8" t="s">
        <v>19</v>
      </c>
      <c r="B15" s="9">
        <v>356</v>
      </c>
      <c r="E15" s="11">
        <v>40</v>
      </c>
      <c r="F15" s="14">
        <v>2.538095238095238</v>
      </c>
    </row>
    <row r="16" spans="1:6" x14ac:dyDescent="0.35">
      <c r="A16" s="8" t="s">
        <v>1965</v>
      </c>
      <c r="B16" s="9">
        <v>1020</v>
      </c>
      <c r="E16" s="11">
        <v>35</v>
      </c>
      <c r="F16" s="14">
        <v>2.5319148936170213</v>
      </c>
    </row>
    <row r="17" spans="1:6" x14ac:dyDescent="0.35">
      <c r="E17" s="11" t="s">
        <v>1965</v>
      </c>
      <c r="F17" s="14">
        <v>2.5764705882352943</v>
      </c>
    </row>
    <row r="21" spans="1:6" x14ac:dyDescent="0.35">
      <c r="A21" s="10" t="s">
        <v>1825</v>
      </c>
      <c r="B21" t="s">
        <v>1966</v>
      </c>
    </row>
    <row r="22" spans="1:6" x14ac:dyDescent="0.35">
      <c r="A22" s="8" t="s">
        <v>1813</v>
      </c>
      <c r="B22" s="12">
        <v>15826948.350000009</v>
      </c>
      <c r="E22" s="10" t="s">
        <v>3</v>
      </c>
      <c r="F22" t="s">
        <v>1977</v>
      </c>
    </row>
    <row r="23" spans="1:6" x14ac:dyDescent="0.35">
      <c r="A23" s="8" t="s">
        <v>1821</v>
      </c>
      <c r="B23" s="12">
        <v>15206919.180000003</v>
      </c>
      <c r="E23" s="8" t="s">
        <v>11</v>
      </c>
      <c r="F23" s="14">
        <v>2.6392045454545454</v>
      </c>
    </row>
    <row r="24" spans="1:6" x14ac:dyDescent="0.35">
      <c r="A24" s="8" t="s">
        <v>1823</v>
      </c>
      <c r="B24" s="12">
        <v>14274098.409999998</v>
      </c>
      <c r="E24" s="8" t="s">
        <v>23</v>
      </c>
      <c r="F24" s="14">
        <v>2.5256410256410255</v>
      </c>
    </row>
    <row r="25" spans="1:6" x14ac:dyDescent="0.35">
      <c r="A25" s="8" t="s">
        <v>1815</v>
      </c>
      <c r="B25" s="12">
        <v>13816422.550000004</v>
      </c>
      <c r="E25" s="8" t="s">
        <v>19</v>
      </c>
      <c r="F25" s="14">
        <v>2.558988764044944</v>
      </c>
    </row>
    <row r="26" spans="1:6" x14ac:dyDescent="0.35">
      <c r="A26" s="8" t="s">
        <v>1817</v>
      </c>
      <c r="B26" s="12">
        <v>13715899.570000006</v>
      </c>
      <c r="E26" s="8" t="s">
        <v>1965</v>
      </c>
      <c r="F26" s="14">
        <v>2.5764705882352943</v>
      </c>
    </row>
    <row r="27" spans="1:6" x14ac:dyDescent="0.35">
      <c r="A27" s="8" t="s">
        <v>1819</v>
      </c>
      <c r="B27" s="12">
        <v>11974148.110000007</v>
      </c>
    </row>
    <row r="28" spans="1:6" x14ac:dyDescent="0.35">
      <c r="A28" s="8" t="s">
        <v>1965</v>
      </c>
      <c r="B28" s="12">
        <v>84814436.170000032</v>
      </c>
    </row>
    <row r="32" spans="1:6" x14ac:dyDescent="0.35">
      <c r="A32" s="10" t="s">
        <v>1967</v>
      </c>
      <c r="B32" t="s">
        <v>1964</v>
      </c>
      <c r="E32" s="10" t="s">
        <v>1967</v>
      </c>
      <c r="F32" t="s">
        <v>1966</v>
      </c>
    </row>
    <row r="33" spans="1:6" x14ac:dyDescent="0.35">
      <c r="A33" s="8" t="s">
        <v>20</v>
      </c>
      <c r="B33" s="9">
        <v>270</v>
      </c>
      <c r="E33" s="8" t="s">
        <v>27</v>
      </c>
      <c r="F33" s="12">
        <v>18112648.269999996</v>
      </c>
    </row>
    <row r="34" spans="1:6" x14ac:dyDescent="0.35">
      <c r="A34" s="8" t="s">
        <v>12</v>
      </c>
      <c r="B34" s="9">
        <v>267</v>
      </c>
      <c r="E34" s="8" t="s">
        <v>15</v>
      </c>
      <c r="F34" s="12">
        <v>22111635.93999999</v>
      </c>
    </row>
    <row r="35" spans="1:6" x14ac:dyDescent="0.35">
      <c r="A35" s="8" t="s">
        <v>15</v>
      </c>
      <c r="B35" s="9">
        <v>267</v>
      </c>
      <c r="E35" s="8" t="s">
        <v>12</v>
      </c>
      <c r="F35" s="12">
        <v>22142074.710000008</v>
      </c>
    </row>
    <row r="36" spans="1:6" x14ac:dyDescent="0.35">
      <c r="A36" s="8" t="s">
        <v>27</v>
      </c>
      <c r="B36" s="9">
        <v>216</v>
      </c>
      <c r="E36" s="8" t="s">
        <v>20</v>
      </c>
      <c r="F36" s="12">
        <v>22448077.249999985</v>
      </c>
    </row>
    <row r="37" spans="1:6" x14ac:dyDescent="0.35">
      <c r="A37" s="8" t="s">
        <v>1965</v>
      </c>
      <c r="B37" s="9">
        <v>1020</v>
      </c>
      <c r="E37" s="8" t="s">
        <v>1965</v>
      </c>
      <c r="F37" s="12">
        <v>84814436.169999987</v>
      </c>
    </row>
    <row r="41" spans="1:6" x14ac:dyDescent="0.35">
      <c r="A41" s="10" t="s">
        <v>1978</v>
      </c>
      <c r="B41" t="s">
        <v>1975</v>
      </c>
      <c r="C41" t="s">
        <v>1977</v>
      </c>
    </row>
    <row r="42" spans="1:6" x14ac:dyDescent="0.35">
      <c r="A42" s="8" t="s">
        <v>1963</v>
      </c>
      <c r="B42" s="12">
        <v>83810.385562130177</v>
      </c>
      <c r="C42" s="14">
        <v>2.5621301775147929</v>
      </c>
    </row>
    <row r="43" spans="1:6" x14ac:dyDescent="0.35">
      <c r="A43" s="8" t="s">
        <v>1962</v>
      </c>
      <c r="B43" s="12">
        <v>82500.137797270829</v>
      </c>
      <c r="C43" s="14">
        <v>2.5906432748538011</v>
      </c>
    </row>
    <row r="44" spans="1:6" x14ac:dyDescent="0.35">
      <c r="A44" s="8" t="s">
        <v>1965</v>
      </c>
      <c r="B44" s="12">
        <v>83151.408009803868</v>
      </c>
      <c r="C44" s="14">
        <v>2.5764705882352943</v>
      </c>
    </row>
    <row r="50" spans="1:6" x14ac:dyDescent="0.35">
      <c r="A50" s="10" t="s">
        <v>1974</v>
      </c>
      <c r="B50" t="s">
        <v>1975</v>
      </c>
    </row>
    <row r="51" spans="1:6" x14ac:dyDescent="0.35">
      <c r="A51" s="11">
        <v>2020</v>
      </c>
      <c r="B51" s="12">
        <v>85280.788128078842</v>
      </c>
    </row>
    <row r="52" spans="1:6" x14ac:dyDescent="0.35">
      <c r="A52" s="11">
        <v>2021</v>
      </c>
      <c r="B52" s="12">
        <v>84222.393492063522</v>
      </c>
    </row>
    <row r="53" spans="1:6" x14ac:dyDescent="0.35">
      <c r="A53" s="11">
        <v>2022</v>
      </c>
      <c r="B53" s="12">
        <v>83424.484590163949</v>
      </c>
    </row>
    <row r="54" spans="1:6" x14ac:dyDescent="0.35">
      <c r="A54" s="11">
        <v>2023</v>
      </c>
      <c r="B54" s="12">
        <v>78863.807807017511</v>
      </c>
    </row>
    <row r="55" spans="1:6" x14ac:dyDescent="0.35">
      <c r="A55" s="11">
        <v>2024</v>
      </c>
      <c r="B55" s="12">
        <v>84501.267050691269</v>
      </c>
    </row>
    <row r="56" spans="1:6" x14ac:dyDescent="0.35">
      <c r="A56" s="11" t="s">
        <v>1965</v>
      </c>
      <c r="B56" s="12">
        <v>83151.408009803854</v>
      </c>
    </row>
    <row r="61" spans="1:6" x14ac:dyDescent="0.35">
      <c r="A61" s="10" t="s">
        <v>1825</v>
      </c>
      <c r="B61" t="s">
        <v>1977</v>
      </c>
    </row>
    <row r="62" spans="1:6" x14ac:dyDescent="0.35">
      <c r="A62" s="8" t="s">
        <v>1821</v>
      </c>
      <c r="B62" s="14">
        <v>2.6573033707865168</v>
      </c>
      <c r="E62" s="10" t="s">
        <v>1976</v>
      </c>
      <c r="F62" t="s">
        <v>1975</v>
      </c>
    </row>
    <row r="63" spans="1:6" x14ac:dyDescent="0.35">
      <c r="A63" s="8" t="s">
        <v>1817</v>
      </c>
      <c r="B63" s="14">
        <v>2.6265060240963853</v>
      </c>
      <c r="E63" s="8">
        <v>1</v>
      </c>
      <c r="F63" s="12">
        <v>83854.853101851826</v>
      </c>
    </row>
    <row r="64" spans="1:6" x14ac:dyDescent="0.35">
      <c r="A64" s="8" t="s">
        <v>1823</v>
      </c>
      <c r="B64" s="14">
        <v>2.5906432748538011</v>
      </c>
      <c r="E64" s="8">
        <v>3</v>
      </c>
      <c r="F64" s="12">
        <v>83141.026851851799</v>
      </c>
    </row>
    <row r="65" spans="1:6" x14ac:dyDescent="0.35">
      <c r="A65" s="8" t="s">
        <v>1819</v>
      </c>
      <c r="B65" s="14">
        <v>2.5616438356164384</v>
      </c>
      <c r="E65" s="8">
        <v>2</v>
      </c>
      <c r="F65" s="12">
        <v>82929.118764044979</v>
      </c>
    </row>
    <row r="66" spans="1:6" x14ac:dyDescent="0.35">
      <c r="A66" s="8" t="s">
        <v>1813</v>
      </c>
      <c r="B66" s="14">
        <v>2.5343915343915344</v>
      </c>
      <c r="E66" s="8">
        <v>4</v>
      </c>
      <c r="F66" s="12">
        <v>82815.11588014978</v>
      </c>
    </row>
    <row r="67" spans="1:6" x14ac:dyDescent="0.35">
      <c r="A67" s="8" t="s">
        <v>1815</v>
      </c>
      <c r="B67" s="14">
        <v>2.4882352941176471</v>
      </c>
      <c r="E67" s="8" t="s">
        <v>1965</v>
      </c>
      <c r="F67" s="12">
        <v>83151.40800980381</v>
      </c>
    </row>
    <row r="68" spans="1:6" x14ac:dyDescent="0.35">
      <c r="A68" s="8" t="s">
        <v>1965</v>
      </c>
      <c r="B68" s="14">
        <v>2.5764705882352943</v>
      </c>
    </row>
    <row r="72" spans="1:6" x14ac:dyDescent="0.35">
      <c r="A72" s="10" t="s">
        <v>1961</v>
      </c>
      <c r="B72" t="s">
        <v>1977</v>
      </c>
      <c r="E72" s="10" t="s">
        <v>1979</v>
      </c>
      <c r="F72" t="s">
        <v>1977</v>
      </c>
    </row>
    <row r="73" spans="1:6" x14ac:dyDescent="0.35">
      <c r="A73" s="8" t="s">
        <v>1960</v>
      </c>
      <c r="B73" s="14">
        <v>2.5634920634920637</v>
      </c>
      <c r="E73" s="11">
        <v>0</v>
      </c>
      <c r="F73" s="14">
        <v>2.5833333333333335</v>
      </c>
    </row>
    <row r="74" spans="1:6" x14ac:dyDescent="0.35">
      <c r="A74" s="8" t="s">
        <v>1958</v>
      </c>
      <c r="B74" s="14">
        <v>2.5644171779141103</v>
      </c>
      <c r="E74" s="11">
        <v>1</v>
      </c>
      <c r="F74" s="14">
        <v>2.464788732394366</v>
      </c>
    </row>
    <row r="75" spans="1:6" x14ac:dyDescent="0.35">
      <c r="A75" s="8" t="s">
        <v>1959</v>
      </c>
      <c r="B75" s="14">
        <v>2.6005665722379603</v>
      </c>
      <c r="E75" s="11">
        <v>2</v>
      </c>
      <c r="F75" s="14">
        <v>2.4935064935064934</v>
      </c>
    </row>
    <row r="76" spans="1:6" x14ac:dyDescent="0.35">
      <c r="A76" s="8" t="s">
        <v>1965</v>
      </c>
      <c r="B76" s="14">
        <v>2.5764705882352943</v>
      </c>
      <c r="E76" s="11">
        <v>3</v>
      </c>
      <c r="F76" s="14">
        <v>2.6432748538011697</v>
      </c>
    </row>
    <row r="77" spans="1:6" x14ac:dyDescent="0.35">
      <c r="E77" s="11">
        <v>4</v>
      </c>
      <c r="F77" s="14">
        <v>2.7643979057591621</v>
      </c>
    </row>
    <row r="78" spans="1:6" x14ac:dyDescent="0.35">
      <c r="E78" s="11">
        <v>5</v>
      </c>
      <c r="F78" s="14">
        <v>2.5526315789473686</v>
      </c>
    </row>
    <row r="79" spans="1:6" x14ac:dyDescent="0.35">
      <c r="E79" s="11" t="s">
        <v>1965</v>
      </c>
      <c r="F79" s="14">
        <v>2.5764705882352943</v>
      </c>
    </row>
  </sheetData>
  <pageMargins left="0.7" right="0.7" top="0.75" bottom="0.75" header="0.3" footer="0.3"/>
  <pageSetup paperSize="9" orientation="portrait" r:id="rId15"/>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FCB8F-A3EF-4B94-90E7-880D9CDB20EE}">
  <sheetPr>
    <pageSetUpPr fitToPage="1"/>
  </sheetPr>
  <dimension ref="A1"/>
  <sheetViews>
    <sheetView showGridLines="0" tabSelected="1" zoomScale="53" zoomScaleNormal="53" workbookViewId="0">
      <selection activeCell="AG49" sqref="AG49"/>
    </sheetView>
  </sheetViews>
  <sheetFormatPr defaultRowHeight="14.5" x14ac:dyDescent="0.35"/>
  <cols>
    <col min="20" max="20" width="8.7265625" customWidth="1"/>
  </cols>
  <sheetData/>
  <pageMargins left="0.7" right="0.7" top="0.75" bottom="0.75" header="0.3" footer="0.3"/>
  <pageSetup paperSize="8" scale="95" fitToWidth="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Cleaned Data</vt:lpstr>
      <vt:lpstr>PIVOT TABLE</vt:lpstr>
      <vt:lpstr>DASHBAORD</vt:lpstr>
      <vt:lpstr>DASHBAORD!Print_Area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2025-11-27T10:20:50Z</cp:lastPrinted>
  <dcterms:created xsi:type="dcterms:W3CDTF">2025-11-23T19:11:31Z</dcterms:created>
  <dcterms:modified xsi:type="dcterms:W3CDTF">2025-11-29T08:53:59Z</dcterms:modified>
</cp:coreProperties>
</file>